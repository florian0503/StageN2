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escendorestauration2-my.sharepoint.com/personal/s_laurent_crescendo-restauration_fr/Documents/Bureau/Sylvain/Cadencier/"/>
    </mc:Choice>
  </mc:AlternateContent>
  <xr:revisionPtr revIDLastSave="304" documentId="8_{4C66973C-8E55-4AFA-B26E-20B2ED9B818A}" xr6:coauthVersionLast="47" xr6:coauthVersionMax="47" xr10:uidLastSave="{0A49BCDB-9F0C-481D-8B80-3962F6409E36}"/>
  <bookViews>
    <workbookView xWindow="20370" yWindow="-120" windowWidth="29040" windowHeight="15840" firstSheet="5" activeTab="5" xr2:uid="{00000000-000D-0000-FFFF-FFFF00000000}"/>
  </bookViews>
  <sheets>
    <sheet name="Cycle S.9" sheetId="2" state="hidden" r:id="rId1"/>
    <sheet name="Feuil1" sheetId="3" state="hidden" r:id="rId2"/>
    <sheet name="Cadencier S.3 SL " sheetId="21" state="hidden" r:id="rId3"/>
    <sheet name="Cadencier S.4 SL  " sheetId="39" state="hidden" r:id="rId4"/>
    <sheet name="Cadencier S.7" sheetId="42" state="hidden" r:id="rId5"/>
    <sheet name="Cadencier S.11" sheetId="45" r:id="rId6"/>
    <sheet name="Poele" sheetId="23" state="hidden" r:id="rId7"/>
    <sheet name="Four" sheetId="27" state="hidden" r:id="rId8"/>
    <sheet name="Wok" sheetId="28" state="hidden" r:id="rId9"/>
    <sheet name="Plancha2" sheetId="29" state="hidden" r:id="rId10"/>
    <sheet name="Friteuse" sheetId="30" state="hidden" r:id="rId11"/>
    <sheet name="Cala poulet" sheetId="34" state="hidden" r:id="rId12"/>
    <sheet name="Légumes" sheetId="37" state="hidden" r:id="rId13"/>
    <sheet name="Leg" sheetId="38" state="hidden" r:id="rId14"/>
  </sheets>
  <functionGroups builtInGroupCount="19"/>
  <definedNames>
    <definedName name="PlageNommée1">Poele!$A$1:$A$71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4" roundtripDataChecksum="gkRKwXpTmmZWjPBFvZMBEU76Kp3NeXyz6WmKiGVdEbc="/>
    </ext>
  </extLst>
</workbook>
</file>

<file path=xl/calcChain.xml><?xml version="1.0" encoding="utf-8"?>
<calcChain xmlns="http://schemas.openxmlformats.org/spreadsheetml/2006/main">
  <c r="N24" i="27" l="1"/>
  <c r="N52" i="27"/>
  <c r="N59" i="27"/>
  <c r="N63" i="27"/>
  <c r="N42" i="27"/>
  <c r="N50" i="23"/>
  <c r="N38" i="23"/>
  <c r="N39" i="23"/>
  <c r="N43" i="23"/>
  <c r="N40" i="23"/>
  <c r="N14" i="27"/>
  <c r="N4" i="27"/>
  <c r="N7" i="23"/>
  <c r="N11" i="28"/>
  <c r="N37" i="23" l="1"/>
  <c r="AL72" i="45" l="1"/>
  <c r="AF72" i="45"/>
  <c r="Z72" i="45"/>
  <c r="T72" i="45"/>
  <c r="N72" i="45"/>
  <c r="H72" i="45"/>
  <c r="BH71" i="45"/>
  <c r="BB71" i="45"/>
  <c r="AV71" i="45"/>
  <c r="AL71" i="45"/>
  <c r="AF71" i="45"/>
  <c r="Z71" i="45"/>
  <c r="T71" i="45"/>
  <c r="N71" i="45"/>
  <c r="L71" i="45"/>
  <c r="F71" i="45"/>
  <c r="G71" i="45" s="1"/>
  <c r="BF70" i="45"/>
  <c r="AZ70" i="45"/>
  <c r="AT70" i="45"/>
  <c r="AL70" i="45"/>
  <c r="AF70" i="45"/>
  <c r="Z70" i="45"/>
  <c r="T70" i="45"/>
  <c r="N70" i="45"/>
  <c r="J70" i="45"/>
  <c r="F70" i="45"/>
  <c r="G70" i="45" s="1"/>
  <c r="BF69" i="45"/>
  <c r="BF71" i="45" s="1"/>
  <c r="AZ69" i="45"/>
  <c r="AZ71" i="45" s="1"/>
  <c r="BB72" i="45" s="1"/>
  <c r="AT69" i="45"/>
  <c r="AT71" i="45" s="1"/>
  <c r="AL69" i="45"/>
  <c r="AF69" i="45"/>
  <c r="Z69" i="45"/>
  <c r="T69" i="45"/>
  <c r="N69" i="45"/>
  <c r="J69" i="45"/>
  <c r="J71" i="45" s="1"/>
  <c r="AL68" i="45"/>
  <c r="AF68" i="45"/>
  <c r="Z68" i="45"/>
  <c r="T68" i="45"/>
  <c r="N68" i="45"/>
  <c r="AL67" i="45"/>
  <c r="AF67" i="45"/>
  <c r="Z67" i="45"/>
  <c r="T67" i="45"/>
  <c r="N67" i="45"/>
  <c r="H67" i="45"/>
  <c r="E67" i="45"/>
  <c r="BH66" i="45"/>
  <c r="BB66" i="45"/>
  <c r="AV66" i="45"/>
  <c r="AP66" i="45"/>
  <c r="AJ66" i="45"/>
  <c r="AD66" i="45"/>
  <c r="X66" i="45"/>
  <c r="R66" i="45"/>
  <c r="L66" i="45"/>
  <c r="F72" i="45" s="1"/>
  <c r="G66" i="45"/>
  <c r="E66" i="45"/>
  <c r="BF65" i="45"/>
  <c r="AZ65" i="45"/>
  <c r="AT65" i="45"/>
  <c r="AN65" i="45"/>
  <c r="AH65" i="45"/>
  <c r="AB65" i="45"/>
  <c r="V65" i="45"/>
  <c r="P65" i="45"/>
  <c r="J65" i="45"/>
  <c r="G65" i="45"/>
  <c r="BF64" i="45"/>
  <c r="BF66" i="45" s="1"/>
  <c r="AZ64" i="45"/>
  <c r="AZ66" i="45" s="1"/>
  <c r="AT64" i="45"/>
  <c r="AT66" i="45" s="1"/>
  <c r="AN64" i="45"/>
  <c r="AN66" i="45" s="1"/>
  <c r="AH64" i="45"/>
  <c r="AH66" i="45" s="1"/>
  <c r="AB64" i="45"/>
  <c r="AB66" i="45" s="1"/>
  <c r="V64" i="45"/>
  <c r="V66" i="45" s="1"/>
  <c r="P64" i="45"/>
  <c r="P66" i="45" s="1"/>
  <c r="J64" i="45"/>
  <c r="J66" i="45" s="1"/>
  <c r="G64" i="45"/>
  <c r="AL62" i="45"/>
  <c r="AF62" i="45"/>
  <c r="Z62" i="45"/>
  <c r="T62" i="45"/>
  <c r="N62" i="45"/>
  <c r="H62" i="45"/>
  <c r="BH61" i="45"/>
  <c r="BB61" i="45"/>
  <c r="AV61" i="45"/>
  <c r="AL61" i="45"/>
  <c r="AF61" i="45"/>
  <c r="Z61" i="45"/>
  <c r="T61" i="45"/>
  <c r="N61" i="45"/>
  <c r="L61" i="45"/>
  <c r="G61" i="45"/>
  <c r="F61" i="45"/>
  <c r="BF60" i="45"/>
  <c r="AZ60" i="45"/>
  <c r="AT60" i="45"/>
  <c r="AL60" i="45"/>
  <c r="AF60" i="45"/>
  <c r="Z60" i="45"/>
  <c r="T60" i="45"/>
  <c r="N60" i="45"/>
  <c r="J60" i="45"/>
  <c r="G60" i="45"/>
  <c r="F60" i="45"/>
  <c r="BF59" i="45"/>
  <c r="BF61" i="45" s="1"/>
  <c r="AZ59" i="45"/>
  <c r="AZ61" i="45" s="1"/>
  <c r="BB62" i="45" s="1"/>
  <c r="AT59" i="45"/>
  <c r="AL59" i="45"/>
  <c r="AF59" i="45"/>
  <c r="Z59" i="45"/>
  <c r="T59" i="45"/>
  <c r="N59" i="45"/>
  <c r="J59" i="45"/>
  <c r="J61" i="45" s="1"/>
  <c r="AL58" i="45"/>
  <c r="AF58" i="45"/>
  <c r="Z58" i="45"/>
  <c r="T58" i="45"/>
  <c r="N58" i="45"/>
  <c r="AL57" i="45"/>
  <c r="AF57" i="45"/>
  <c r="Z57" i="45"/>
  <c r="T57" i="45"/>
  <c r="N57" i="45"/>
  <c r="H57" i="45"/>
  <c r="E57" i="45"/>
  <c r="BH56" i="45"/>
  <c r="BB56" i="45"/>
  <c r="AV56" i="45"/>
  <c r="AQ56" i="45"/>
  <c r="AP56" i="45"/>
  <c r="AJ56" i="45"/>
  <c r="AD56" i="45"/>
  <c r="X56" i="45"/>
  <c r="R56" i="45"/>
  <c r="L56" i="45"/>
  <c r="F62" i="45" s="1"/>
  <c r="G56" i="45"/>
  <c r="E56" i="45"/>
  <c r="BF55" i="45"/>
  <c r="BC55" i="45"/>
  <c r="AZ55" i="45"/>
  <c r="AT55" i="45"/>
  <c r="AN55" i="45"/>
  <c r="AH55" i="45"/>
  <c r="AB55" i="45"/>
  <c r="V55" i="45"/>
  <c r="P55" i="45"/>
  <c r="J55" i="45"/>
  <c r="G55" i="45"/>
  <c r="BF54" i="45"/>
  <c r="BF56" i="45" s="1"/>
  <c r="AZ54" i="45"/>
  <c r="AZ56" i="45" s="1"/>
  <c r="AT54" i="45"/>
  <c r="AT56" i="45" s="1"/>
  <c r="AN54" i="45"/>
  <c r="AN56" i="45" s="1"/>
  <c r="AH54" i="45"/>
  <c r="AH56" i="45" s="1"/>
  <c r="AB54" i="45"/>
  <c r="AB56" i="45" s="1"/>
  <c r="V54" i="45"/>
  <c r="V56" i="45" s="1"/>
  <c r="P54" i="45"/>
  <c r="P56" i="45" s="1"/>
  <c r="J54" i="45"/>
  <c r="J56" i="45" s="1"/>
  <c r="G54" i="45"/>
  <c r="AL52" i="45"/>
  <c r="AF52" i="45"/>
  <c r="Z52" i="45"/>
  <c r="T52" i="45"/>
  <c r="N52" i="45"/>
  <c r="H52" i="45"/>
  <c r="F52" i="45"/>
  <c r="BH51" i="45"/>
  <c r="BB51" i="45"/>
  <c r="AV51" i="45"/>
  <c r="AL51" i="45"/>
  <c r="AF51" i="45"/>
  <c r="Z51" i="45"/>
  <c r="T51" i="45"/>
  <c r="N51" i="45"/>
  <c r="L51" i="45"/>
  <c r="J51" i="45"/>
  <c r="F51" i="45"/>
  <c r="BF50" i="45"/>
  <c r="AZ50" i="45"/>
  <c r="AT50" i="45"/>
  <c r="AL50" i="45"/>
  <c r="AF50" i="45"/>
  <c r="Z50" i="45"/>
  <c r="T50" i="45"/>
  <c r="N50" i="45"/>
  <c r="J50" i="45"/>
  <c r="F50" i="45"/>
  <c r="G50" i="45" s="1"/>
  <c r="BF49" i="45"/>
  <c r="BF51" i="45" s="1"/>
  <c r="BH52" i="45" s="1"/>
  <c r="AZ49" i="45"/>
  <c r="AT49" i="45"/>
  <c r="AT51" i="45" s="1"/>
  <c r="AL49" i="45"/>
  <c r="AF49" i="45"/>
  <c r="Z49" i="45"/>
  <c r="T49" i="45"/>
  <c r="N49" i="45"/>
  <c r="M49" i="45"/>
  <c r="J49" i="45"/>
  <c r="AL48" i="45"/>
  <c r="AF48" i="45"/>
  <c r="Z48" i="45"/>
  <c r="T48" i="45"/>
  <c r="N48" i="45"/>
  <c r="AV47" i="45"/>
  <c r="AL47" i="45"/>
  <c r="AF47" i="45"/>
  <c r="AD47" i="45"/>
  <c r="Z47" i="45"/>
  <c r="T47" i="45"/>
  <c r="N47" i="45"/>
  <c r="H47" i="45"/>
  <c r="E47" i="45"/>
  <c r="BH46" i="45"/>
  <c r="BF46" i="45"/>
  <c r="BB46" i="45"/>
  <c r="AZ46" i="45"/>
  <c r="AV46" i="45"/>
  <c r="AT46" i="45"/>
  <c r="AS46" i="45" s="1"/>
  <c r="AP46" i="45"/>
  <c r="AN46" i="45"/>
  <c r="AJ46" i="45"/>
  <c r="AH46" i="45"/>
  <c r="AD46" i="45"/>
  <c r="X46" i="45"/>
  <c r="V46" i="45"/>
  <c r="R46" i="45"/>
  <c r="L46" i="45"/>
  <c r="J46" i="45"/>
  <c r="G46" i="45"/>
  <c r="E46" i="45"/>
  <c r="BF45" i="45"/>
  <c r="AZ45" i="45"/>
  <c r="AT45" i="45"/>
  <c r="AN45" i="45"/>
  <c r="AK45" i="45"/>
  <c r="AH45" i="45"/>
  <c r="AB45" i="45"/>
  <c r="V45" i="45"/>
  <c r="P45" i="45"/>
  <c r="J45" i="45"/>
  <c r="G45" i="45"/>
  <c r="E48" i="45" s="1"/>
  <c r="BF44" i="45"/>
  <c r="AZ44" i="45"/>
  <c r="AT44" i="45"/>
  <c r="AN44" i="45"/>
  <c r="AH44" i="45"/>
  <c r="AE44" i="45"/>
  <c r="AB44" i="45"/>
  <c r="AB46" i="45" s="1"/>
  <c r="V44" i="45"/>
  <c r="P44" i="45"/>
  <c r="P46" i="45" s="1"/>
  <c r="J44" i="45"/>
  <c r="G44" i="45"/>
  <c r="BE51" i="45" s="1"/>
  <c r="AV42" i="45"/>
  <c r="AL42" i="45"/>
  <c r="AF42" i="45"/>
  <c r="AD42" i="45"/>
  <c r="Z42" i="45"/>
  <c r="T42" i="45"/>
  <c r="N42" i="45"/>
  <c r="H42" i="45"/>
  <c r="BH41" i="45"/>
  <c r="BF41" i="45"/>
  <c r="BB41" i="45"/>
  <c r="AV41" i="45"/>
  <c r="AL41" i="45"/>
  <c r="AF41" i="45"/>
  <c r="Z41" i="45"/>
  <c r="T41" i="45"/>
  <c r="N41" i="45"/>
  <c r="L41" i="45"/>
  <c r="J41" i="45"/>
  <c r="F41" i="45"/>
  <c r="BF40" i="45"/>
  <c r="AZ40" i="45"/>
  <c r="AT40" i="45"/>
  <c r="AL40" i="45"/>
  <c r="AF40" i="45"/>
  <c r="Z40" i="45"/>
  <c r="T40" i="45"/>
  <c r="N40" i="45"/>
  <c r="J40" i="45"/>
  <c r="F40" i="45"/>
  <c r="G40" i="45" s="1"/>
  <c r="BF39" i="45"/>
  <c r="AZ39" i="45"/>
  <c r="AT39" i="45"/>
  <c r="AT41" i="45" s="1"/>
  <c r="AS41" i="45" s="1"/>
  <c r="AL39" i="45"/>
  <c r="AF39" i="45"/>
  <c r="Z39" i="45"/>
  <c r="T39" i="45"/>
  <c r="N39" i="45"/>
  <c r="J39" i="45"/>
  <c r="AL38" i="45"/>
  <c r="AF38" i="45"/>
  <c r="Z38" i="45"/>
  <c r="T38" i="45"/>
  <c r="N38" i="45"/>
  <c r="AL37" i="45"/>
  <c r="AF37" i="45"/>
  <c r="AD37" i="45"/>
  <c r="Z37" i="45"/>
  <c r="T37" i="45"/>
  <c r="N37" i="45"/>
  <c r="H37" i="45"/>
  <c r="E37" i="45"/>
  <c r="G36" i="45" s="1"/>
  <c r="BH36" i="45"/>
  <c r="BE36" i="45"/>
  <c r="BB36" i="45"/>
  <c r="AZ36" i="45"/>
  <c r="BB37" i="45" s="1"/>
  <c r="AY36" i="45"/>
  <c r="AV36" i="45"/>
  <c r="AP36" i="45"/>
  <c r="AN36" i="45"/>
  <c r="AJ36" i="45"/>
  <c r="AG36" i="45"/>
  <c r="AD36" i="45"/>
  <c r="AB36" i="45"/>
  <c r="AA36" i="45"/>
  <c r="X36" i="45"/>
  <c r="R36" i="45"/>
  <c r="P36" i="45"/>
  <c r="L36" i="45"/>
  <c r="I36" i="45"/>
  <c r="E36" i="45"/>
  <c r="BF35" i="45"/>
  <c r="BF36" i="45" s="1"/>
  <c r="BH37" i="45" s="1"/>
  <c r="AZ35" i="45"/>
  <c r="AT35" i="45"/>
  <c r="AN35" i="45"/>
  <c r="AH35" i="45"/>
  <c r="AB35" i="45"/>
  <c r="V35" i="45"/>
  <c r="V36" i="45" s="1"/>
  <c r="P35" i="45"/>
  <c r="J35" i="45"/>
  <c r="J36" i="45" s="1"/>
  <c r="L37" i="45" s="1"/>
  <c r="G35" i="45"/>
  <c r="BF34" i="45"/>
  <c r="AZ34" i="45"/>
  <c r="AT34" i="45"/>
  <c r="AT36" i="45" s="1"/>
  <c r="AN34" i="45"/>
  <c r="AH34" i="45"/>
  <c r="AH36" i="45" s="1"/>
  <c r="AJ40" i="45" s="1"/>
  <c r="AB34" i="45"/>
  <c r="V34" i="45"/>
  <c r="P34" i="45"/>
  <c r="J34" i="45"/>
  <c r="G34" i="45"/>
  <c r="AV32" i="45"/>
  <c r="AL32" i="45"/>
  <c r="AF32" i="45"/>
  <c r="Z32" i="45"/>
  <c r="T32" i="45"/>
  <c r="N32" i="45"/>
  <c r="H32" i="45"/>
  <c r="BH31" i="45"/>
  <c r="BF31" i="45"/>
  <c r="BB31" i="45"/>
  <c r="AV31" i="45"/>
  <c r="AL31" i="45"/>
  <c r="AF31" i="45"/>
  <c r="Z31" i="45"/>
  <c r="T31" i="45"/>
  <c r="N31" i="45"/>
  <c r="L31" i="45"/>
  <c r="F31" i="45"/>
  <c r="BF30" i="45"/>
  <c r="AZ30" i="45"/>
  <c r="AT30" i="45"/>
  <c r="AL30" i="45"/>
  <c r="AF30" i="45"/>
  <c r="Z30" i="45"/>
  <c r="T30" i="45"/>
  <c r="N30" i="45"/>
  <c r="J30" i="45"/>
  <c r="G30" i="45"/>
  <c r="F30" i="45"/>
  <c r="G31" i="45" s="1"/>
  <c r="BF29" i="45"/>
  <c r="AZ29" i="45"/>
  <c r="AZ31" i="45" s="1"/>
  <c r="BB32" i="45" s="1"/>
  <c r="AT29" i="45"/>
  <c r="AT31" i="45" s="1"/>
  <c r="AS31" i="45" s="1"/>
  <c r="AL29" i="45"/>
  <c r="AF29" i="45"/>
  <c r="Z29" i="45"/>
  <c r="T29" i="45"/>
  <c r="N29" i="45"/>
  <c r="J29" i="45"/>
  <c r="AL28" i="45"/>
  <c r="AF28" i="45"/>
  <c r="Z28" i="45"/>
  <c r="T28" i="45"/>
  <c r="N28" i="45"/>
  <c r="AL27" i="45"/>
  <c r="AF27" i="45"/>
  <c r="Z27" i="45"/>
  <c r="T27" i="45"/>
  <c r="N27" i="45"/>
  <c r="H27" i="45"/>
  <c r="E27" i="45"/>
  <c r="BH26" i="45"/>
  <c r="BB26" i="45"/>
  <c r="AV26" i="45"/>
  <c r="AP26" i="45"/>
  <c r="AJ26" i="45"/>
  <c r="AD26" i="45"/>
  <c r="X26" i="45"/>
  <c r="V26" i="45"/>
  <c r="R26" i="45"/>
  <c r="L26" i="45"/>
  <c r="E26" i="45"/>
  <c r="G26" i="45" s="1"/>
  <c r="BF25" i="45"/>
  <c r="AZ25" i="45"/>
  <c r="AZ26" i="45" s="1"/>
  <c r="AY26" i="45" s="1"/>
  <c r="AT25" i="45"/>
  <c r="AN25" i="45"/>
  <c r="AN26" i="45" s="1"/>
  <c r="AH25" i="45"/>
  <c r="AB25" i="45"/>
  <c r="V25" i="45"/>
  <c r="P25" i="45"/>
  <c r="J25" i="45"/>
  <c r="G25" i="45"/>
  <c r="BF24" i="45"/>
  <c r="BF26" i="45" s="1"/>
  <c r="AZ24" i="45"/>
  <c r="AT24" i="45"/>
  <c r="AT26" i="45" s="1"/>
  <c r="AN24" i="45"/>
  <c r="AH24" i="45"/>
  <c r="AH26" i="45" s="1"/>
  <c r="AB24" i="45"/>
  <c r="V24" i="45"/>
  <c r="P24" i="45"/>
  <c r="J24" i="45"/>
  <c r="J26" i="45" s="1"/>
  <c r="G24" i="45"/>
  <c r="BH22" i="45"/>
  <c r="AL22" i="45"/>
  <c r="AF22" i="45"/>
  <c r="Z22" i="45"/>
  <c r="T22" i="45"/>
  <c r="N22" i="45"/>
  <c r="H22" i="45"/>
  <c r="BH21" i="45"/>
  <c r="BB21" i="45"/>
  <c r="BC21" i="45" s="1"/>
  <c r="AV21" i="45"/>
  <c r="AP21" i="45"/>
  <c r="AL21" i="45"/>
  <c r="AF21" i="45"/>
  <c r="AD21" i="45"/>
  <c r="Z21" i="45"/>
  <c r="T21" i="45"/>
  <c r="R21" i="45"/>
  <c r="N21" i="45"/>
  <c r="L21" i="45"/>
  <c r="J21" i="45"/>
  <c r="I21" i="45" s="1"/>
  <c r="F21" i="45"/>
  <c r="G21" i="45" s="1"/>
  <c r="BI20" i="45"/>
  <c r="BF20" i="45"/>
  <c r="AZ20" i="45"/>
  <c r="AT20" i="45"/>
  <c r="AL20" i="45"/>
  <c r="AF20" i="45"/>
  <c r="Z20" i="45"/>
  <c r="T20" i="45"/>
  <c r="N20" i="45"/>
  <c r="M20" i="45"/>
  <c r="J20" i="45"/>
  <c r="F20" i="45"/>
  <c r="G20" i="45" s="1"/>
  <c r="BF19" i="45"/>
  <c r="BF21" i="45" s="1"/>
  <c r="BE21" i="45" s="1"/>
  <c r="AZ19" i="45"/>
  <c r="AZ21" i="45" s="1"/>
  <c r="BB22" i="45" s="1"/>
  <c r="AW19" i="45"/>
  <c r="AT19" i="45"/>
  <c r="AT21" i="45" s="1"/>
  <c r="AL19" i="45"/>
  <c r="AF19" i="45"/>
  <c r="Z19" i="45"/>
  <c r="T19" i="45"/>
  <c r="N19" i="45"/>
  <c r="J19" i="45"/>
  <c r="AL18" i="45"/>
  <c r="AF18" i="45"/>
  <c r="Z18" i="45"/>
  <c r="T18" i="45"/>
  <c r="N18" i="45"/>
  <c r="E18" i="45"/>
  <c r="AP17" i="45"/>
  <c r="AL17" i="45"/>
  <c r="AF17" i="45"/>
  <c r="AD17" i="45"/>
  <c r="Z17" i="45"/>
  <c r="T17" i="45"/>
  <c r="R17" i="45"/>
  <c r="N17" i="45"/>
  <c r="H17" i="45"/>
  <c r="E17" i="45"/>
  <c r="G16" i="45" s="1"/>
  <c r="BH16" i="45"/>
  <c r="BB16" i="45"/>
  <c r="AZ16" i="45"/>
  <c r="BB17" i="45" s="1"/>
  <c r="AY16" i="45"/>
  <c r="AV16" i="45"/>
  <c r="AP16" i="45"/>
  <c r="AN16" i="45"/>
  <c r="AP22" i="45" s="1"/>
  <c r="AM16" i="45"/>
  <c r="AJ16" i="45"/>
  <c r="AD16" i="45"/>
  <c r="AB16" i="45"/>
  <c r="AD22" i="45" s="1"/>
  <c r="X16" i="45"/>
  <c r="R16" i="45"/>
  <c r="P16" i="45"/>
  <c r="R22" i="45" s="1"/>
  <c r="O16" i="45"/>
  <c r="L16" i="45"/>
  <c r="F22" i="45" s="1"/>
  <c r="BC14" i="45" s="1"/>
  <c r="E16" i="45"/>
  <c r="BF15" i="45"/>
  <c r="AZ15" i="45"/>
  <c r="AT15" i="45"/>
  <c r="AN15" i="45"/>
  <c r="AH15" i="45"/>
  <c r="AB15" i="45"/>
  <c r="V15" i="45"/>
  <c r="P15" i="45"/>
  <c r="J15" i="45"/>
  <c r="G15" i="45"/>
  <c r="BF14" i="45"/>
  <c r="BF16" i="45" s="1"/>
  <c r="BH17" i="45" s="1"/>
  <c r="AZ14" i="45"/>
  <c r="AT14" i="45"/>
  <c r="AQ14" i="45"/>
  <c r="AN14" i="45"/>
  <c r="AH14" i="45"/>
  <c r="AH16" i="45" s="1"/>
  <c r="AE14" i="45"/>
  <c r="AB14" i="45"/>
  <c r="V14" i="45"/>
  <c r="S14" i="45"/>
  <c r="P14" i="45"/>
  <c r="J14" i="45"/>
  <c r="J16" i="45" s="1"/>
  <c r="L17" i="45" s="1"/>
  <c r="G14" i="45"/>
  <c r="AA16" i="45" s="1"/>
  <c r="AV12" i="45"/>
  <c r="AL12" i="45"/>
  <c r="AF12" i="45"/>
  <c r="Z12" i="45"/>
  <c r="T12" i="45"/>
  <c r="N12" i="45"/>
  <c r="H12" i="45"/>
  <c r="BH11" i="45"/>
  <c r="BF11" i="45"/>
  <c r="BB11" i="45"/>
  <c r="AV11" i="45"/>
  <c r="AT11" i="45"/>
  <c r="AS11" i="45"/>
  <c r="AL11" i="45"/>
  <c r="AF11" i="45"/>
  <c r="Z11" i="45"/>
  <c r="T11" i="45"/>
  <c r="N11" i="45"/>
  <c r="L11" i="45"/>
  <c r="F11" i="45"/>
  <c r="BF10" i="45"/>
  <c r="AZ10" i="45"/>
  <c r="AZ11" i="45" s="1"/>
  <c r="BB12" i="45" s="1"/>
  <c r="AT10" i="45"/>
  <c r="AL10" i="45"/>
  <c r="AF10" i="45"/>
  <c r="Z10" i="45"/>
  <c r="T10" i="45"/>
  <c r="N10" i="45"/>
  <c r="J10" i="45"/>
  <c r="F10" i="45"/>
  <c r="G10" i="45" s="1"/>
  <c r="BF9" i="45"/>
  <c r="AZ9" i="45"/>
  <c r="AT9" i="45"/>
  <c r="AL9" i="45"/>
  <c r="AF9" i="45"/>
  <c r="Z9" i="45"/>
  <c r="T9" i="45"/>
  <c r="N9" i="45"/>
  <c r="J9" i="45"/>
  <c r="J11" i="45" s="1"/>
  <c r="AL8" i="45"/>
  <c r="AF8" i="45"/>
  <c r="Z8" i="45"/>
  <c r="T8" i="45"/>
  <c r="N8" i="45"/>
  <c r="AL7" i="45"/>
  <c r="AF7" i="45"/>
  <c r="Z7" i="45"/>
  <c r="T7" i="45"/>
  <c r="N7" i="45"/>
  <c r="H7" i="45"/>
  <c r="E7" i="45"/>
  <c r="BH6" i="45"/>
  <c r="BB6" i="45"/>
  <c r="AZ6" i="45"/>
  <c r="AV6" i="45"/>
  <c r="AT6" i="45"/>
  <c r="AS6" i="45" s="1"/>
  <c r="AP6" i="45"/>
  <c r="AN6" i="45"/>
  <c r="AJ6" i="45"/>
  <c r="AD6" i="45"/>
  <c r="AB6" i="45"/>
  <c r="X6" i="45"/>
  <c r="R6" i="45"/>
  <c r="P6" i="45"/>
  <c r="L6" i="45"/>
  <c r="J6" i="45"/>
  <c r="E6" i="45"/>
  <c r="G6" i="45" s="1"/>
  <c r="BF5" i="45"/>
  <c r="AZ5" i="45"/>
  <c r="AT5" i="45"/>
  <c r="AN5" i="45"/>
  <c r="AH5" i="45"/>
  <c r="AB5" i="45"/>
  <c r="V5" i="45"/>
  <c r="P5" i="45"/>
  <c r="J5" i="45"/>
  <c r="G5" i="45"/>
  <c r="BF4" i="45"/>
  <c r="BF6" i="45" s="1"/>
  <c r="AZ4" i="45"/>
  <c r="AT4" i="45"/>
  <c r="AN4" i="45"/>
  <c r="AH4" i="45"/>
  <c r="AH6" i="45" s="1"/>
  <c r="AB4" i="45"/>
  <c r="V4" i="45"/>
  <c r="V6" i="45" s="1"/>
  <c r="P4" i="45"/>
  <c r="J4" i="45"/>
  <c r="G4" i="45"/>
  <c r="A3" i="45"/>
  <c r="A13" i="45" s="1"/>
  <c r="A23" i="45" s="1"/>
  <c r="A33" i="45" s="1"/>
  <c r="A43" i="45" s="1"/>
  <c r="A53" i="45" s="1"/>
  <c r="A63" i="45" s="1"/>
  <c r="N56" i="27"/>
  <c r="N60" i="27"/>
  <c r="N45" i="27"/>
  <c r="N22" i="27"/>
  <c r="N5" i="27"/>
  <c r="P16" i="27"/>
  <c r="R10" i="27" s="1"/>
  <c r="N54" i="27"/>
  <c r="N55" i="27"/>
  <c r="N53" i="27"/>
  <c r="P65" i="23"/>
  <c r="N4" i="23"/>
  <c r="N15" i="23"/>
  <c r="AL72" i="42"/>
  <c r="AF72" i="42"/>
  <c r="Z72" i="42"/>
  <c r="T72" i="42"/>
  <c r="N72" i="42"/>
  <c r="H72" i="42"/>
  <c r="BH71" i="42"/>
  <c r="BB71" i="42"/>
  <c r="AV71" i="42"/>
  <c r="AL71" i="42"/>
  <c r="AF71" i="42"/>
  <c r="Z71" i="42"/>
  <c r="T71" i="42"/>
  <c r="N71" i="42"/>
  <c r="L71" i="42"/>
  <c r="F71" i="42"/>
  <c r="BF70" i="42"/>
  <c r="AZ70" i="42"/>
  <c r="AT70" i="42"/>
  <c r="AL70" i="42"/>
  <c r="AF70" i="42"/>
  <c r="Z70" i="42"/>
  <c r="T70" i="42"/>
  <c r="N70" i="42"/>
  <c r="J70" i="42"/>
  <c r="F70" i="42"/>
  <c r="G70" i="42" s="1"/>
  <c r="BF69" i="42"/>
  <c r="BF71" i="42" s="1"/>
  <c r="AZ69" i="42"/>
  <c r="AZ71" i="42" s="1"/>
  <c r="BB72" i="42" s="1"/>
  <c r="AT69" i="42"/>
  <c r="AT71" i="42" s="1"/>
  <c r="AL69" i="42"/>
  <c r="AF69" i="42"/>
  <c r="Z69" i="42"/>
  <c r="T69" i="42"/>
  <c r="N69" i="42"/>
  <c r="J69" i="42"/>
  <c r="J71" i="42" s="1"/>
  <c r="AL68" i="42"/>
  <c r="AF68" i="42"/>
  <c r="Z68" i="42"/>
  <c r="T68" i="42"/>
  <c r="N68" i="42"/>
  <c r="AL67" i="42"/>
  <c r="AF67" i="42"/>
  <c r="Z67" i="42"/>
  <c r="T67" i="42"/>
  <c r="N67" i="42"/>
  <c r="H67" i="42"/>
  <c r="E67" i="42"/>
  <c r="BH66" i="42"/>
  <c r="BB66" i="42"/>
  <c r="AV66" i="42"/>
  <c r="AP66" i="42"/>
  <c r="AJ66" i="42"/>
  <c r="AD66" i="42"/>
  <c r="X66" i="42"/>
  <c r="R66" i="42"/>
  <c r="L66" i="42"/>
  <c r="E66" i="42"/>
  <c r="G66" i="42" s="1"/>
  <c r="BF65" i="42"/>
  <c r="AZ65" i="42"/>
  <c r="AT65" i="42"/>
  <c r="AN65" i="42"/>
  <c r="AH65" i="42"/>
  <c r="AB65" i="42"/>
  <c r="V65" i="42"/>
  <c r="P65" i="42"/>
  <c r="J65" i="42"/>
  <c r="G65" i="42"/>
  <c r="BF64" i="42"/>
  <c r="BF66" i="42" s="1"/>
  <c r="AZ64" i="42"/>
  <c r="AZ66" i="42" s="1"/>
  <c r="AT64" i="42"/>
  <c r="AT66" i="42" s="1"/>
  <c r="AN64" i="42"/>
  <c r="AN66" i="42" s="1"/>
  <c r="AH64" i="42"/>
  <c r="AH66" i="42" s="1"/>
  <c r="AB64" i="42"/>
  <c r="AB66" i="42" s="1"/>
  <c r="V64" i="42"/>
  <c r="V66" i="42" s="1"/>
  <c r="P64" i="42"/>
  <c r="P66" i="42" s="1"/>
  <c r="J64" i="42"/>
  <c r="J66" i="42" s="1"/>
  <c r="G64" i="42"/>
  <c r="AL62" i="42"/>
  <c r="AF62" i="42"/>
  <c r="Z62" i="42"/>
  <c r="T62" i="42"/>
  <c r="N62" i="42"/>
  <c r="H62" i="42"/>
  <c r="BH61" i="42"/>
  <c r="BB61" i="42"/>
  <c r="AV61" i="42"/>
  <c r="AL61" i="42"/>
  <c r="AF61" i="42"/>
  <c r="Z61" i="42"/>
  <c r="T61" i="42"/>
  <c r="N61" i="42"/>
  <c r="L61" i="42"/>
  <c r="F61" i="42"/>
  <c r="BF60" i="42"/>
  <c r="AZ60" i="42"/>
  <c r="AT60" i="42"/>
  <c r="AL60" i="42"/>
  <c r="AF60" i="42"/>
  <c r="Z60" i="42"/>
  <c r="T60" i="42"/>
  <c r="N60" i="42"/>
  <c r="J60" i="42"/>
  <c r="F60" i="42"/>
  <c r="G60" i="42" s="1"/>
  <c r="BF59" i="42"/>
  <c r="BF61" i="42" s="1"/>
  <c r="AZ59" i="42"/>
  <c r="AZ61" i="42" s="1"/>
  <c r="BB62" i="42" s="1"/>
  <c r="AT59" i="42"/>
  <c r="AT61" i="42" s="1"/>
  <c r="AL59" i="42"/>
  <c r="AF59" i="42"/>
  <c r="Z59" i="42"/>
  <c r="T59" i="42"/>
  <c r="N59" i="42"/>
  <c r="J59" i="42"/>
  <c r="J61" i="42" s="1"/>
  <c r="AL58" i="42"/>
  <c r="AF58" i="42"/>
  <c r="Z58" i="42"/>
  <c r="T58" i="42"/>
  <c r="N58" i="42"/>
  <c r="AL57" i="42"/>
  <c r="AF57" i="42"/>
  <c r="Z57" i="42"/>
  <c r="T57" i="42"/>
  <c r="N57" i="42"/>
  <c r="H57" i="42"/>
  <c r="E57" i="42"/>
  <c r="BH56" i="42"/>
  <c r="BB56" i="42"/>
  <c r="AV56" i="42"/>
  <c r="AP56" i="42"/>
  <c r="AJ56" i="42"/>
  <c r="AD56" i="42"/>
  <c r="X56" i="42"/>
  <c r="R56" i="42"/>
  <c r="L56" i="42"/>
  <c r="E56" i="42"/>
  <c r="G56" i="42" s="1"/>
  <c r="BF55" i="42"/>
  <c r="AZ55" i="42"/>
  <c r="AT55" i="42"/>
  <c r="AN55" i="42"/>
  <c r="AH55" i="42"/>
  <c r="AB55" i="42"/>
  <c r="V55" i="42"/>
  <c r="P55" i="42"/>
  <c r="J55" i="42"/>
  <c r="G55" i="42"/>
  <c r="BF54" i="42"/>
  <c r="BF56" i="42" s="1"/>
  <c r="AZ54" i="42"/>
  <c r="AZ56" i="42" s="1"/>
  <c r="AT54" i="42"/>
  <c r="AT56" i="42" s="1"/>
  <c r="AN54" i="42"/>
  <c r="AN56" i="42" s="1"/>
  <c r="AH54" i="42"/>
  <c r="AH56" i="42" s="1"/>
  <c r="AB54" i="42"/>
  <c r="AB56" i="42" s="1"/>
  <c r="V54" i="42"/>
  <c r="V56" i="42" s="1"/>
  <c r="P54" i="42"/>
  <c r="P56" i="42" s="1"/>
  <c r="J54" i="42"/>
  <c r="J56" i="42" s="1"/>
  <c r="G54" i="42"/>
  <c r="AL52" i="42"/>
  <c r="AF52" i="42"/>
  <c r="Z52" i="42"/>
  <c r="T52" i="42"/>
  <c r="N52" i="42"/>
  <c r="H52" i="42"/>
  <c r="BH51" i="42"/>
  <c r="BB51" i="42"/>
  <c r="AV51" i="42"/>
  <c r="AL51" i="42"/>
  <c r="AF51" i="42"/>
  <c r="Z51" i="42"/>
  <c r="T51" i="42"/>
  <c r="N51" i="42"/>
  <c r="L51" i="42"/>
  <c r="F51" i="42"/>
  <c r="BF50" i="42"/>
  <c r="AZ50" i="42"/>
  <c r="AT50" i="42"/>
  <c r="AL50" i="42"/>
  <c r="AF50" i="42"/>
  <c r="Z50" i="42"/>
  <c r="T50" i="42"/>
  <c r="N50" i="42"/>
  <c r="J50" i="42"/>
  <c r="F50" i="42"/>
  <c r="G50" i="42" s="1"/>
  <c r="BF49" i="42"/>
  <c r="BF51" i="42" s="1"/>
  <c r="AZ49" i="42"/>
  <c r="AZ51" i="42" s="1"/>
  <c r="BB52" i="42" s="1"/>
  <c r="AT49" i="42"/>
  <c r="AT51" i="42" s="1"/>
  <c r="AL49" i="42"/>
  <c r="AF49" i="42"/>
  <c r="Z49" i="42"/>
  <c r="T49" i="42"/>
  <c r="N49" i="42"/>
  <c r="J49" i="42"/>
  <c r="J51" i="42" s="1"/>
  <c r="AL48" i="42"/>
  <c r="AF48" i="42"/>
  <c r="Z48" i="42"/>
  <c r="T48" i="42"/>
  <c r="N48" i="42"/>
  <c r="AL47" i="42"/>
  <c r="AF47" i="42"/>
  <c r="Z47" i="42"/>
  <c r="T47" i="42"/>
  <c r="N47" i="42"/>
  <c r="H47" i="42"/>
  <c r="E47" i="42"/>
  <c r="BH46" i="42"/>
  <c r="BB46" i="42"/>
  <c r="AV46" i="42"/>
  <c r="AP46" i="42"/>
  <c r="AJ46" i="42"/>
  <c r="AD46" i="42"/>
  <c r="X46" i="42"/>
  <c r="R46" i="42"/>
  <c r="L46" i="42"/>
  <c r="E46" i="42"/>
  <c r="G46" i="42" s="1"/>
  <c r="BF45" i="42"/>
  <c r="AZ45" i="42"/>
  <c r="AT45" i="42"/>
  <c r="AN45" i="42"/>
  <c r="AH45" i="42"/>
  <c r="AB45" i="42"/>
  <c r="V45" i="42"/>
  <c r="P45" i="42"/>
  <c r="J45" i="42"/>
  <c r="G45" i="42"/>
  <c r="BF44" i="42"/>
  <c r="BF46" i="42" s="1"/>
  <c r="AZ44" i="42"/>
  <c r="AZ46" i="42" s="1"/>
  <c r="AT44" i="42"/>
  <c r="AT46" i="42" s="1"/>
  <c r="AN44" i="42"/>
  <c r="AN46" i="42" s="1"/>
  <c r="AH44" i="42"/>
  <c r="AH46" i="42" s="1"/>
  <c r="AB44" i="42"/>
  <c r="AB46" i="42" s="1"/>
  <c r="V44" i="42"/>
  <c r="V46" i="42" s="1"/>
  <c r="P44" i="42"/>
  <c r="P46" i="42" s="1"/>
  <c r="J44" i="42"/>
  <c r="J46" i="42" s="1"/>
  <c r="G44" i="42"/>
  <c r="AL42" i="42"/>
  <c r="AF42" i="42"/>
  <c r="Z42" i="42"/>
  <c r="T42" i="42"/>
  <c r="N42" i="42"/>
  <c r="H42" i="42"/>
  <c r="BH41" i="42"/>
  <c r="BB41" i="42"/>
  <c r="AV41" i="42"/>
  <c r="AL41" i="42"/>
  <c r="AF41" i="42"/>
  <c r="Z41" i="42"/>
  <c r="T41" i="42"/>
  <c r="N41" i="42"/>
  <c r="L41" i="42"/>
  <c r="F41" i="42"/>
  <c r="BF40" i="42"/>
  <c r="AZ40" i="42"/>
  <c r="AT40" i="42"/>
  <c r="AL40" i="42"/>
  <c r="AF40" i="42"/>
  <c r="Z40" i="42"/>
  <c r="T40" i="42"/>
  <c r="N40" i="42"/>
  <c r="J40" i="42"/>
  <c r="F40" i="42"/>
  <c r="G40" i="42" s="1"/>
  <c r="BF39" i="42"/>
  <c r="BF41" i="42" s="1"/>
  <c r="AZ39" i="42"/>
  <c r="AZ41" i="42" s="1"/>
  <c r="BB42" i="42" s="1"/>
  <c r="AT39" i="42"/>
  <c r="AT41" i="42" s="1"/>
  <c r="AL39" i="42"/>
  <c r="AF39" i="42"/>
  <c r="Z39" i="42"/>
  <c r="T39" i="42"/>
  <c r="N39" i="42"/>
  <c r="J39" i="42"/>
  <c r="J41" i="42" s="1"/>
  <c r="AL38" i="42"/>
  <c r="AF38" i="42"/>
  <c r="Z38" i="42"/>
  <c r="T38" i="42"/>
  <c r="N38" i="42"/>
  <c r="AL37" i="42"/>
  <c r="AF37" i="42"/>
  <c r="Z37" i="42"/>
  <c r="T37" i="42"/>
  <c r="N37" i="42"/>
  <c r="H37" i="42"/>
  <c r="E37" i="42"/>
  <c r="BH36" i="42"/>
  <c r="BB36" i="42"/>
  <c r="AV36" i="42"/>
  <c r="AP36" i="42"/>
  <c r="AJ36" i="42"/>
  <c r="AD36" i="42"/>
  <c r="X36" i="42"/>
  <c r="R36" i="42"/>
  <c r="L36" i="42"/>
  <c r="E36" i="42"/>
  <c r="G36" i="42" s="1"/>
  <c r="BF35" i="42"/>
  <c r="AZ35" i="42"/>
  <c r="AT35" i="42"/>
  <c r="AN35" i="42"/>
  <c r="AH35" i="42"/>
  <c r="AB35" i="42"/>
  <c r="V35" i="42"/>
  <c r="P35" i="42"/>
  <c r="J35" i="42"/>
  <c r="G35" i="42"/>
  <c r="BF34" i="42"/>
  <c r="BF36" i="42" s="1"/>
  <c r="AZ34" i="42"/>
  <c r="AZ36" i="42" s="1"/>
  <c r="AT34" i="42"/>
  <c r="AT36" i="42" s="1"/>
  <c r="AN34" i="42"/>
  <c r="AN36" i="42" s="1"/>
  <c r="AH34" i="42"/>
  <c r="AH36" i="42" s="1"/>
  <c r="AB34" i="42"/>
  <c r="AB36" i="42" s="1"/>
  <c r="V34" i="42"/>
  <c r="V36" i="42" s="1"/>
  <c r="P34" i="42"/>
  <c r="P36" i="42" s="1"/>
  <c r="J34" i="42"/>
  <c r="J36" i="42" s="1"/>
  <c r="G34" i="42"/>
  <c r="AL32" i="42"/>
  <c r="AF32" i="42"/>
  <c r="Z32" i="42"/>
  <c r="T32" i="42"/>
  <c r="N32" i="42"/>
  <c r="H32" i="42"/>
  <c r="BH31" i="42"/>
  <c r="BB31" i="42"/>
  <c r="AV31" i="42"/>
  <c r="AL31" i="42"/>
  <c r="AF31" i="42"/>
  <c r="Z31" i="42"/>
  <c r="T31" i="42"/>
  <c r="N31" i="42"/>
  <c r="L31" i="42"/>
  <c r="F31" i="42"/>
  <c r="BF30" i="42"/>
  <c r="AZ30" i="42"/>
  <c r="AT30" i="42"/>
  <c r="AL30" i="42"/>
  <c r="AF30" i="42"/>
  <c r="Z30" i="42"/>
  <c r="T30" i="42"/>
  <c r="N30" i="42"/>
  <c r="J30" i="42"/>
  <c r="F30" i="42"/>
  <c r="G30" i="42" s="1"/>
  <c r="BF29" i="42"/>
  <c r="BF31" i="42" s="1"/>
  <c r="AZ29" i="42"/>
  <c r="AZ31" i="42" s="1"/>
  <c r="BB32" i="42" s="1"/>
  <c r="AT29" i="42"/>
  <c r="AT31" i="42" s="1"/>
  <c r="AL29" i="42"/>
  <c r="AF29" i="42"/>
  <c r="Z29" i="42"/>
  <c r="T29" i="42"/>
  <c r="N29" i="42"/>
  <c r="J29" i="42"/>
  <c r="J31" i="42" s="1"/>
  <c r="AL28" i="42"/>
  <c r="AF28" i="42"/>
  <c r="Z28" i="42"/>
  <c r="T28" i="42"/>
  <c r="N28" i="42"/>
  <c r="AL27" i="42"/>
  <c r="AF27" i="42"/>
  <c r="Z27" i="42"/>
  <c r="T27" i="42"/>
  <c r="N27" i="42"/>
  <c r="H27" i="42"/>
  <c r="E27" i="42"/>
  <c r="BH26" i="42"/>
  <c r="BB26" i="42"/>
  <c r="AV26" i="42"/>
  <c r="AP26" i="42"/>
  <c r="AJ26" i="42"/>
  <c r="AD26" i="42"/>
  <c r="X26" i="42"/>
  <c r="R26" i="42"/>
  <c r="L26" i="42"/>
  <c r="E26" i="42"/>
  <c r="G26" i="42" s="1"/>
  <c r="BF25" i="42"/>
  <c r="AZ25" i="42"/>
  <c r="AT25" i="42"/>
  <c r="AN25" i="42"/>
  <c r="AH25" i="42"/>
  <c r="AB25" i="42"/>
  <c r="V25" i="42"/>
  <c r="P25" i="42"/>
  <c r="J25" i="42"/>
  <c r="G25" i="42"/>
  <c r="BF24" i="42"/>
  <c r="BF26" i="42" s="1"/>
  <c r="AZ24" i="42"/>
  <c r="AZ26" i="42" s="1"/>
  <c r="AT24" i="42"/>
  <c r="AT26" i="42" s="1"/>
  <c r="AN24" i="42"/>
  <c r="AN26" i="42" s="1"/>
  <c r="AH24" i="42"/>
  <c r="AH26" i="42" s="1"/>
  <c r="AB24" i="42"/>
  <c r="AB26" i="42" s="1"/>
  <c r="V24" i="42"/>
  <c r="V26" i="42" s="1"/>
  <c r="P24" i="42"/>
  <c r="P26" i="42" s="1"/>
  <c r="J24" i="42"/>
  <c r="J26" i="42" s="1"/>
  <c r="G24" i="42"/>
  <c r="AL22" i="42"/>
  <c r="AF22" i="42"/>
  <c r="Z22" i="42"/>
  <c r="T22" i="42"/>
  <c r="N22" i="42"/>
  <c r="H22" i="42"/>
  <c r="BH21" i="42"/>
  <c r="BB21" i="42"/>
  <c r="AV21" i="42"/>
  <c r="AL21" i="42"/>
  <c r="AF21" i="42"/>
  <c r="Z21" i="42"/>
  <c r="T21" i="42"/>
  <c r="N21" i="42"/>
  <c r="L21" i="42"/>
  <c r="F21" i="42"/>
  <c r="BF20" i="42"/>
  <c r="AZ20" i="42"/>
  <c r="AT20" i="42"/>
  <c r="AL20" i="42"/>
  <c r="AF20" i="42"/>
  <c r="Z20" i="42"/>
  <c r="T20" i="42"/>
  <c r="N20" i="42"/>
  <c r="J20" i="42"/>
  <c r="F20" i="42"/>
  <c r="G20" i="42" s="1"/>
  <c r="BF19" i="42"/>
  <c r="BF21" i="42" s="1"/>
  <c r="AZ19" i="42"/>
  <c r="AZ21" i="42" s="1"/>
  <c r="BB22" i="42" s="1"/>
  <c r="AT19" i="42"/>
  <c r="AT21" i="42" s="1"/>
  <c r="AL19" i="42"/>
  <c r="AF19" i="42"/>
  <c r="Z19" i="42"/>
  <c r="T19" i="42"/>
  <c r="N19" i="42"/>
  <c r="J19" i="42"/>
  <c r="J21" i="42" s="1"/>
  <c r="AL18" i="42"/>
  <c r="AF18" i="42"/>
  <c r="Z18" i="42"/>
  <c r="T18" i="42"/>
  <c r="N18" i="42"/>
  <c r="AL17" i="42"/>
  <c r="AF17" i="42"/>
  <c r="Z17" i="42"/>
  <c r="T17" i="42"/>
  <c r="N17" i="42"/>
  <c r="H17" i="42"/>
  <c r="E17" i="42"/>
  <c r="BH16" i="42"/>
  <c r="BB16" i="42"/>
  <c r="AV16" i="42"/>
  <c r="AP16" i="42"/>
  <c r="AJ16" i="42"/>
  <c r="AD16" i="42"/>
  <c r="X16" i="42"/>
  <c r="R16" i="42"/>
  <c r="L16" i="42"/>
  <c r="E16" i="42"/>
  <c r="G16" i="42" s="1"/>
  <c r="BF15" i="42"/>
  <c r="AZ15" i="42"/>
  <c r="AT15" i="42"/>
  <c r="AN15" i="42"/>
  <c r="AH15" i="42"/>
  <c r="AB15" i="42"/>
  <c r="V15" i="42"/>
  <c r="P15" i="42"/>
  <c r="J15" i="42"/>
  <c r="G15" i="42"/>
  <c r="BF14" i="42"/>
  <c r="BF16" i="42" s="1"/>
  <c r="AZ14" i="42"/>
  <c r="AZ16" i="42" s="1"/>
  <c r="AT14" i="42"/>
  <c r="AT16" i="42" s="1"/>
  <c r="AN14" i="42"/>
  <c r="AN16" i="42" s="1"/>
  <c r="AH14" i="42"/>
  <c r="AH16" i="42" s="1"/>
  <c r="AB14" i="42"/>
  <c r="AB16" i="42" s="1"/>
  <c r="V14" i="42"/>
  <c r="V16" i="42" s="1"/>
  <c r="P14" i="42"/>
  <c r="P16" i="42" s="1"/>
  <c r="J14" i="42"/>
  <c r="J16" i="42" s="1"/>
  <c r="G14" i="42"/>
  <c r="AL12" i="42"/>
  <c r="AF12" i="42"/>
  <c r="Z12" i="42"/>
  <c r="T12" i="42"/>
  <c r="N12" i="42"/>
  <c r="H12" i="42"/>
  <c r="BH11" i="42"/>
  <c r="BB11" i="42"/>
  <c r="AV11" i="42"/>
  <c r="AL11" i="42"/>
  <c r="AF11" i="42"/>
  <c r="Z11" i="42"/>
  <c r="T11" i="42"/>
  <c r="N11" i="42"/>
  <c r="L11" i="42"/>
  <c r="F11" i="42"/>
  <c r="BF10" i="42"/>
  <c r="AZ10" i="42"/>
  <c r="AT10" i="42"/>
  <c r="AL10" i="42"/>
  <c r="AF10" i="42"/>
  <c r="Z10" i="42"/>
  <c r="T10" i="42"/>
  <c r="N10" i="42"/>
  <c r="J10" i="42"/>
  <c r="F10" i="42"/>
  <c r="G10" i="42" s="1"/>
  <c r="BF9" i="42"/>
  <c r="BF11" i="42" s="1"/>
  <c r="AZ9" i="42"/>
  <c r="AZ11" i="42" s="1"/>
  <c r="BB12" i="42" s="1"/>
  <c r="AT9" i="42"/>
  <c r="AT11" i="42" s="1"/>
  <c r="AL9" i="42"/>
  <c r="AF9" i="42"/>
  <c r="Z9" i="42"/>
  <c r="T9" i="42"/>
  <c r="N9" i="42"/>
  <c r="J9" i="42"/>
  <c r="J11" i="42" s="1"/>
  <c r="AL8" i="42"/>
  <c r="AF8" i="42"/>
  <c r="Z8" i="42"/>
  <c r="T8" i="42"/>
  <c r="N8" i="42"/>
  <c r="AL7" i="42"/>
  <c r="AF7" i="42"/>
  <c r="Z7" i="42"/>
  <c r="T7" i="42"/>
  <c r="N7" i="42"/>
  <c r="H7" i="42"/>
  <c r="E7" i="42"/>
  <c r="BH6" i="42"/>
  <c r="BB6" i="42"/>
  <c r="AV6" i="42"/>
  <c r="AP6" i="42"/>
  <c r="AJ6" i="42"/>
  <c r="AD6" i="42"/>
  <c r="X6" i="42"/>
  <c r="R6" i="42"/>
  <c r="L6" i="42"/>
  <c r="E6" i="42"/>
  <c r="BF5" i="42"/>
  <c r="AZ5" i="42"/>
  <c r="AT5" i="42"/>
  <c r="AN5" i="42"/>
  <c r="AH5" i="42"/>
  <c r="AB5" i="42"/>
  <c r="V5" i="42"/>
  <c r="P5" i="42"/>
  <c r="J5" i="42"/>
  <c r="G5" i="42"/>
  <c r="BF4" i="42"/>
  <c r="BF6" i="42" s="1"/>
  <c r="AZ4" i="42"/>
  <c r="AZ6" i="42" s="1"/>
  <c r="AT4" i="42"/>
  <c r="AT6" i="42" s="1"/>
  <c r="AN4" i="42"/>
  <c r="AN6" i="42" s="1"/>
  <c r="AH4" i="42"/>
  <c r="AB4" i="42"/>
  <c r="AB6" i="42" s="1"/>
  <c r="V4" i="42"/>
  <c r="P4" i="42"/>
  <c r="J4" i="42"/>
  <c r="J6" i="42" s="1"/>
  <c r="G4" i="42"/>
  <c r="A3" i="42"/>
  <c r="A13" i="42" s="1"/>
  <c r="A23" i="42" s="1"/>
  <c r="A33" i="42" s="1"/>
  <c r="A43" i="42" s="1"/>
  <c r="A53" i="42" s="1"/>
  <c r="A63" i="42" s="1"/>
  <c r="N51" i="23"/>
  <c r="N42" i="28"/>
  <c r="N46" i="28"/>
  <c r="N31" i="23"/>
  <c r="N13" i="27"/>
  <c r="N50" i="27"/>
  <c r="B325" i="39"/>
  <c r="B324" i="39"/>
  <c r="B323" i="39"/>
  <c r="B322" i="39"/>
  <c r="B321" i="39"/>
  <c r="B320" i="39"/>
  <c r="B319" i="39"/>
  <c r="B318" i="39"/>
  <c r="B317" i="39"/>
  <c r="B316" i="39"/>
  <c r="B315" i="39"/>
  <c r="B314" i="39"/>
  <c r="B313" i="39"/>
  <c r="B312" i="39"/>
  <c r="B311" i="39"/>
  <c r="B310" i="39"/>
  <c r="B309" i="39"/>
  <c r="B308" i="39"/>
  <c r="B307" i="39"/>
  <c r="B306" i="39"/>
  <c r="B305" i="39"/>
  <c r="B304" i="39"/>
  <c r="B303" i="39"/>
  <c r="B302" i="39"/>
  <c r="B301" i="39"/>
  <c r="B300" i="39"/>
  <c r="B299" i="39"/>
  <c r="B298" i="39"/>
  <c r="B297" i="39"/>
  <c r="B296" i="39"/>
  <c r="B295" i="39"/>
  <c r="B294" i="39"/>
  <c r="B293" i="39"/>
  <c r="B292" i="39"/>
  <c r="B291" i="39"/>
  <c r="B290" i="39"/>
  <c r="B289" i="39"/>
  <c r="B288" i="39"/>
  <c r="B287" i="39"/>
  <c r="B286" i="39"/>
  <c r="B285" i="39"/>
  <c r="B284" i="39"/>
  <c r="AL72" i="39"/>
  <c r="B283" i="39" s="1"/>
  <c r="AF72" i="39"/>
  <c r="B241" i="39" s="1"/>
  <c r="Z72" i="39"/>
  <c r="B199" i="39" s="1"/>
  <c r="T72" i="39"/>
  <c r="B157" i="39" s="1"/>
  <c r="N72" i="39"/>
  <c r="B115" i="39" s="1"/>
  <c r="H72" i="39"/>
  <c r="BH71" i="39"/>
  <c r="BB71" i="39"/>
  <c r="AV71" i="39"/>
  <c r="AL71" i="39"/>
  <c r="B282" i="39" s="1"/>
  <c r="AF71" i="39"/>
  <c r="B240" i="39" s="1"/>
  <c r="Z71" i="39"/>
  <c r="B198" i="39" s="1"/>
  <c r="T71" i="39"/>
  <c r="B156" i="39" s="1"/>
  <c r="N71" i="39"/>
  <c r="B114" i="39" s="1"/>
  <c r="L71" i="39"/>
  <c r="F71" i="39"/>
  <c r="BF70" i="39"/>
  <c r="AZ70" i="39"/>
  <c r="AT70" i="39"/>
  <c r="AL70" i="39"/>
  <c r="B281" i="39" s="1"/>
  <c r="AF70" i="39"/>
  <c r="B239" i="39" s="1"/>
  <c r="Z70" i="39"/>
  <c r="B197" i="39" s="1"/>
  <c r="T70" i="39"/>
  <c r="B155" i="39" s="1"/>
  <c r="N70" i="39"/>
  <c r="B113" i="39" s="1"/>
  <c r="J70" i="39"/>
  <c r="F70" i="39"/>
  <c r="G70" i="39" s="1"/>
  <c r="BF69" i="39"/>
  <c r="BF71" i="39" s="1"/>
  <c r="AZ69" i="39"/>
  <c r="AZ71" i="39" s="1"/>
  <c r="BB72" i="39" s="1"/>
  <c r="C311" i="39" s="1"/>
  <c r="AT69" i="39"/>
  <c r="AT71" i="39" s="1"/>
  <c r="AL69" i="39"/>
  <c r="B280" i="39" s="1"/>
  <c r="AF69" i="39"/>
  <c r="B238" i="39" s="1"/>
  <c r="Z69" i="39"/>
  <c r="B196" i="39" s="1"/>
  <c r="T69" i="39"/>
  <c r="B154" i="39" s="1"/>
  <c r="N69" i="39"/>
  <c r="B112" i="39" s="1"/>
  <c r="J69" i="39"/>
  <c r="J71" i="39" s="1"/>
  <c r="AL68" i="39"/>
  <c r="B279" i="39" s="1"/>
  <c r="AF68" i="39"/>
  <c r="B237" i="39" s="1"/>
  <c r="Z68" i="39"/>
  <c r="B195" i="39" s="1"/>
  <c r="T68" i="39"/>
  <c r="B153" i="39" s="1"/>
  <c r="N68" i="39"/>
  <c r="B111" i="39" s="1"/>
  <c r="AL67" i="39"/>
  <c r="B278" i="39" s="1"/>
  <c r="AF67" i="39"/>
  <c r="B236" i="39" s="1"/>
  <c r="Z67" i="39"/>
  <c r="B194" i="39" s="1"/>
  <c r="T67" i="39"/>
  <c r="B152" i="39" s="1"/>
  <c r="N67" i="39"/>
  <c r="B110" i="39" s="1"/>
  <c r="H67" i="39"/>
  <c r="B327" i="39" s="1"/>
  <c r="E67" i="39"/>
  <c r="BH66" i="39"/>
  <c r="BB66" i="39"/>
  <c r="AV66" i="39"/>
  <c r="AP66" i="39"/>
  <c r="AJ66" i="39"/>
  <c r="AD66" i="39"/>
  <c r="X66" i="39"/>
  <c r="R66" i="39"/>
  <c r="L66" i="39"/>
  <c r="E66" i="39"/>
  <c r="G66" i="39" s="1"/>
  <c r="BF65" i="39"/>
  <c r="AZ65" i="39"/>
  <c r="AT65" i="39"/>
  <c r="AN65" i="39"/>
  <c r="AH65" i="39"/>
  <c r="AB65" i="39"/>
  <c r="V65" i="39"/>
  <c r="P65" i="39"/>
  <c r="J65" i="39"/>
  <c r="G65" i="39"/>
  <c r="BF64" i="39"/>
  <c r="BF66" i="39" s="1"/>
  <c r="AZ64" i="39"/>
  <c r="AZ66" i="39" s="1"/>
  <c r="AT64" i="39"/>
  <c r="AT66" i="39" s="1"/>
  <c r="AN64" i="39"/>
  <c r="AN66" i="39" s="1"/>
  <c r="AH64" i="39"/>
  <c r="AH66" i="39" s="1"/>
  <c r="AB64" i="39"/>
  <c r="AB66" i="39" s="1"/>
  <c r="V64" i="39"/>
  <c r="V66" i="39" s="1"/>
  <c r="P64" i="39"/>
  <c r="P66" i="39" s="1"/>
  <c r="J64" i="39"/>
  <c r="J66" i="39" s="1"/>
  <c r="G64" i="39"/>
  <c r="AL62" i="39"/>
  <c r="B277" i="39" s="1"/>
  <c r="AF62" i="39"/>
  <c r="B235" i="39" s="1"/>
  <c r="Z62" i="39"/>
  <c r="B193" i="39" s="1"/>
  <c r="T62" i="39"/>
  <c r="B151" i="39" s="1"/>
  <c r="N62" i="39"/>
  <c r="B109" i="39" s="1"/>
  <c r="H62" i="39"/>
  <c r="BH61" i="39"/>
  <c r="BB61" i="39"/>
  <c r="AV61" i="39"/>
  <c r="AL61" i="39"/>
  <c r="B276" i="39" s="1"/>
  <c r="AF61" i="39"/>
  <c r="B234" i="39" s="1"/>
  <c r="Z61" i="39"/>
  <c r="B192" i="39" s="1"/>
  <c r="T61" i="39"/>
  <c r="B150" i="39" s="1"/>
  <c r="N61" i="39"/>
  <c r="B108" i="39" s="1"/>
  <c r="L61" i="39"/>
  <c r="F61" i="39"/>
  <c r="BF60" i="39"/>
  <c r="AZ60" i="39"/>
  <c r="AT60" i="39"/>
  <c r="AL60" i="39"/>
  <c r="B275" i="39" s="1"/>
  <c r="AF60" i="39"/>
  <c r="B233" i="39" s="1"/>
  <c r="Z60" i="39"/>
  <c r="B191" i="39" s="1"/>
  <c r="T60" i="39"/>
  <c r="B149" i="39" s="1"/>
  <c r="N60" i="39"/>
  <c r="B107" i="39" s="1"/>
  <c r="J60" i="39"/>
  <c r="F60" i="39"/>
  <c r="G60" i="39" s="1"/>
  <c r="BF59" i="39"/>
  <c r="BF61" i="39" s="1"/>
  <c r="AZ59" i="39"/>
  <c r="AZ61" i="39" s="1"/>
  <c r="BB62" i="39" s="1"/>
  <c r="C309" i="39" s="1"/>
  <c r="AT59" i="39"/>
  <c r="AT61" i="39" s="1"/>
  <c r="AL59" i="39"/>
  <c r="B274" i="39" s="1"/>
  <c r="AF59" i="39"/>
  <c r="B232" i="39" s="1"/>
  <c r="Z59" i="39"/>
  <c r="B190" i="39" s="1"/>
  <c r="T59" i="39"/>
  <c r="B148" i="39" s="1"/>
  <c r="N59" i="39"/>
  <c r="B106" i="39" s="1"/>
  <c r="J59" i="39"/>
  <c r="J61" i="39" s="1"/>
  <c r="AL58" i="39"/>
  <c r="B273" i="39" s="1"/>
  <c r="AF58" i="39"/>
  <c r="B231" i="39" s="1"/>
  <c r="Z58" i="39"/>
  <c r="B189" i="39" s="1"/>
  <c r="T58" i="39"/>
  <c r="B147" i="39" s="1"/>
  <c r="N58" i="39"/>
  <c r="B105" i="39" s="1"/>
  <c r="AL57" i="39"/>
  <c r="B272" i="39" s="1"/>
  <c r="AF57" i="39"/>
  <c r="B230" i="39" s="1"/>
  <c r="Z57" i="39"/>
  <c r="B188" i="39" s="1"/>
  <c r="T57" i="39"/>
  <c r="B146" i="39" s="1"/>
  <c r="N57" i="39"/>
  <c r="B104" i="39" s="1"/>
  <c r="H57" i="39"/>
  <c r="E57" i="39"/>
  <c r="BH56" i="39"/>
  <c r="BB56" i="39"/>
  <c r="AV56" i="39"/>
  <c r="AP56" i="39"/>
  <c r="AJ56" i="39"/>
  <c r="AD56" i="39"/>
  <c r="X56" i="39"/>
  <c r="R56" i="39"/>
  <c r="L56" i="39"/>
  <c r="E56" i="39"/>
  <c r="G56" i="39" s="1"/>
  <c r="BF55" i="39"/>
  <c r="AZ55" i="39"/>
  <c r="AT55" i="39"/>
  <c r="AN55" i="39"/>
  <c r="AH55" i="39"/>
  <c r="AB55" i="39"/>
  <c r="V55" i="39"/>
  <c r="P55" i="39"/>
  <c r="J55" i="39"/>
  <c r="G55" i="39"/>
  <c r="BF54" i="39"/>
  <c r="BF56" i="39" s="1"/>
  <c r="AZ54" i="39"/>
  <c r="AZ56" i="39" s="1"/>
  <c r="AT54" i="39"/>
  <c r="AT56" i="39" s="1"/>
  <c r="AN54" i="39"/>
  <c r="AN56" i="39" s="1"/>
  <c r="AH54" i="39"/>
  <c r="AH56" i="39" s="1"/>
  <c r="AB54" i="39"/>
  <c r="AB56" i="39" s="1"/>
  <c r="V54" i="39"/>
  <c r="V56" i="39" s="1"/>
  <c r="P54" i="39"/>
  <c r="P56" i="39" s="1"/>
  <c r="J54" i="39"/>
  <c r="J56" i="39" s="1"/>
  <c r="G54" i="39"/>
  <c r="AL52" i="39"/>
  <c r="B271" i="39" s="1"/>
  <c r="AF52" i="39"/>
  <c r="B229" i="39" s="1"/>
  <c r="Z52" i="39"/>
  <c r="B187" i="39" s="1"/>
  <c r="T52" i="39"/>
  <c r="B145" i="39" s="1"/>
  <c r="N52" i="39"/>
  <c r="B103" i="39" s="1"/>
  <c r="H52" i="39"/>
  <c r="BH51" i="39"/>
  <c r="BB51" i="39"/>
  <c r="AV51" i="39"/>
  <c r="AL51" i="39"/>
  <c r="B270" i="39" s="1"/>
  <c r="AF51" i="39"/>
  <c r="B228" i="39" s="1"/>
  <c r="Z51" i="39"/>
  <c r="B186" i="39" s="1"/>
  <c r="T51" i="39"/>
  <c r="B144" i="39" s="1"/>
  <c r="N51" i="39"/>
  <c r="B102" i="39" s="1"/>
  <c r="L51" i="39"/>
  <c r="F51" i="39"/>
  <c r="BF50" i="39"/>
  <c r="AZ50" i="39"/>
  <c r="AT50" i="39"/>
  <c r="AL50" i="39"/>
  <c r="B269" i="39" s="1"/>
  <c r="AF50" i="39"/>
  <c r="B227" i="39" s="1"/>
  <c r="Z50" i="39"/>
  <c r="B185" i="39" s="1"/>
  <c r="T50" i="39"/>
  <c r="B143" i="39" s="1"/>
  <c r="N50" i="39"/>
  <c r="B101" i="39" s="1"/>
  <c r="J50" i="39"/>
  <c r="F50" i="39"/>
  <c r="G50" i="39" s="1"/>
  <c r="BF49" i="39"/>
  <c r="BF51" i="39" s="1"/>
  <c r="AZ49" i="39"/>
  <c r="AZ51" i="39" s="1"/>
  <c r="BB52" i="39" s="1"/>
  <c r="C307" i="39" s="1"/>
  <c r="AT49" i="39"/>
  <c r="AT51" i="39" s="1"/>
  <c r="AL49" i="39"/>
  <c r="B268" i="39" s="1"/>
  <c r="AF49" i="39"/>
  <c r="B226" i="39" s="1"/>
  <c r="Z49" i="39"/>
  <c r="B184" i="39" s="1"/>
  <c r="T49" i="39"/>
  <c r="B142" i="39" s="1"/>
  <c r="N49" i="39"/>
  <c r="B100" i="39" s="1"/>
  <c r="J49" i="39"/>
  <c r="J51" i="39" s="1"/>
  <c r="AL48" i="39"/>
  <c r="B267" i="39" s="1"/>
  <c r="AF48" i="39"/>
  <c r="B225" i="39" s="1"/>
  <c r="Z48" i="39"/>
  <c r="B183" i="39" s="1"/>
  <c r="T48" i="39"/>
  <c r="B141" i="39" s="1"/>
  <c r="N48" i="39"/>
  <c r="B99" i="39" s="1"/>
  <c r="AL47" i="39"/>
  <c r="B266" i="39" s="1"/>
  <c r="AF47" i="39"/>
  <c r="B224" i="39" s="1"/>
  <c r="Z47" i="39"/>
  <c r="B182" i="39" s="1"/>
  <c r="T47" i="39"/>
  <c r="B140" i="39" s="1"/>
  <c r="N47" i="39"/>
  <c r="B98" i="39" s="1"/>
  <c r="H47" i="39"/>
  <c r="E47" i="39"/>
  <c r="BH46" i="39"/>
  <c r="BB46" i="39"/>
  <c r="AV46" i="39"/>
  <c r="AP46" i="39"/>
  <c r="AJ46" i="39"/>
  <c r="AD46" i="39"/>
  <c r="X46" i="39"/>
  <c r="R46" i="39"/>
  <c r="L46" i="39"/>
  <c r="E46" i="39"/>
  <c r="G46" i="39" s="1"/>
  <c r="BF45" i="39"/>
  <c r="AZ45" i="39"/>
  <c r="AT45" i="39"/>
  <c r="AN45" i="39"/>
  <c r="AH45" i="39"/>
  <c r="AB45" i="39"/>
  <c r="V45" i="39"/>
  <c r="P45" i="39"/>
  <c r="J45" i="39"/>
  <c r="G45" i="39"/>
  <c r="BF44" i="39"/>
  <c r="BF46" i="39" s="1"/>
  <c r="AZ44" i="39"/>
  <c r="AZ46" i="39" s="1"/>
  <c r="AT44" i="39"/>
  <c r="AT46" i="39" s="1"/>
  <c r="AN44" i="39"/>
  <c r="AN46" i="39" s="1"/>
  <c r="AH44" i="39"/>
  <c r="AH46" i="39" s="1"/>
  <c r="AB44" i="39"/>
  <c r="AB46" i="39" s="1"/>
  <c r="V44" i="39"/>
  <c r="V46" i="39" s="1"/>
  <c r="P44" i="39"/>
  <c r="P46" i="39" s="1"/>
  <c r="J44" i="39"/>
  <c r="J46" i="39" s="1"/>
  <c r="G44" i="39"/>
  <c r="AL42" i="39"/>
  <c r="B265" i="39" s="1"/>
  <c r="AF42" i="39"/>
  <c r="B223" i="39" s="1"/>
  <c r="Z42" i="39"/>
  <c r="B181" i="39" s="1"/>
  <c r="T42" i="39"/>
  <c r="B139" i="39" s="1"/>
  <c r="N42" i="39"/>
  <c r="B97" i="39" s="1"/>
  <c r="H42" i="39"/>
  <c r="BH41" i="39"/>
  <c r="BB41" i="39"/>
  <c r="AV41" i="39"/>
  <c r="AL41" i="39"/>
  <c r="B264" i="39" s="1"/>
  <c r="AF41" i="39"/>
  <c r="B222" i="39" s="1"/>
  <c r="Z41" i="39"/>
  <c r="B180" i="39" s="1"/>
  <c r="T41" i="39"/>
  <c r="B138" i="39" s="1"/>
  <c r="N41" i="39"/>
  <c r="B96" i="39" s="1"/>
  <c r="L41" i="39"/>
  <c r="F41" i="39"/>
  <c r="BF40" i="39"/>
  <c r="AZ40" i="39"/>
  <c r="AT40" i="39"/>
  <c r="AL40" i="39"/>
  <c r="B263" i="39" s="1"/>
  <c r="AF40" i="39"/>
  <c r="B221" i="39" s="1"/>
  <c r="Z40" i="39"/>
  <c r="B179" i="39" s="1"/>
  <c r="T40" i="39"/>
  <c r="B137" i="39" s="1"/>
  <c r="N40" i="39"/>
  <c r="B95" i="39" s="1"/>
  <c r="J40" i="39"/>
  <c r="F40" i="39"/>
  <c r="G40" i="39" s="1"/>
  <c r="BF39" i="39"/>
  <c r="BF41" i="39" s="1"/>
  <c r="AZ39" i="39"/>
  <c r="AZ41" i="39" s="1"/>
  <c r="BB42" i="39" s="1"/>
  <c r="C305" i="39" s="1"/>
  <c r="AT39" i="39"/>
  <c r="AT41" i="39" s="1"/>
  <c r="AL39" i="39"/>
  <c r="B262" i="39" s="1"/>
  <c r="AF39" i="39"/>
  <c r="B220" i="39" s="1"/>
  <c r="Z39" i="39"/>
  <c r="B178" i="39" s="1"/>
  <c r="T39" i="39"/>
  <c r="B136" i="39" s="1"/>
  <c r="N39" i="39"/>
  <c r="B94" i="39" s="1"/>
  <c r="J39" i="39"/>
  <c r="J41" i="39" s="1"/>
  <c r="AL38" i="39"/>
  <c r="B261" i="39" s="1"/>
  <c r="AF38" i="39"/>
  <c r="B219" i="39" s="1"/>
  <c r="Z38" i="39"/>
  <c r="B177" i="39" s="1"/>
  <c r="T38" i="39"/>
  <c r="B135" i="39" s="1"/>
  <c r="N38" i="39"/>
  <c r="B93" i="39" s="1"/>
  <c r="AL37" i="39"/>
  <c r="B260" i="39" s="1"/>
  <c r="AF37" i="39"/>
  <c r="B218" i="39" s="1"/>
  <c r="Z37" i="39"/>
  <c r="B176" i="39" s="1"/>
  <c r="T37" i="39"/>
  <c r="B134" i="39" s="1"/>
  <c r="N37" i="39"/>
  <c r="B92" i="39" s="1"/>
  <c r="H37" i="39"/>
  <c r="E37" i="39"/>
  <c r="BH36" i="39"/>
  <c r="BB36" i="39"/>
  <c r="AV36" i="39"/>
  <c r="AP36" i="39"/>
  <c r="AJ36" i="39"/>
  <c r="AD36" i="39"/>
  <c r="X36" i="39"/>
  <c r="R36" i="39"/>
  <c r="L36" i="39"/>
  <c r="E36" i="39"/>
  <c r="G36" i="39" s="1"/>
  <c r="BF35" i="39"/>
  <c r="AZ35" i="39"/>
  <c r="AT35" i="39"/>
  <c r="AN35" i="39"/>
  <c r="AH35" i="39"/>
  <c r="AB35" i="39"/>
  <c r="V35" i="39"/>
  <c r="P35" i="39"/>
  <c r="J35" i="39"/>
  <c r="G35" i="39"/>
  <c r="BF34" i="39"/>
  <c r="BF36" i="39" s="1"/>
  <c r="AZ34" i="39"/>
  <c r="AZ36" i="39" s="1"/>
  <c r="AT34" i="39"/>
  <c r="AT36" i="39" s="1"/>
  <c r="AN34" i="39"/>
  <c r="AN36" i="39" s="1"/>
  <c r="AH34" i="39"/>
  <c r="AH36" i="39" s="1"/>
  <c r="AB34" i="39"/>
  <c r="AB36" i="39" s="1"/>
  <c r="V34" i="39"/>
  <c r="V36" i="39" s="1"/>
  <c r="P34" i="39"/>
  <c r="P36" i="39" s="1"/>
  <c r="J34" i="39"/>
  <c r="J36" i="39" s="1"/>
  <c r="G34" i="39"/>
  <c r="AL32" i="39"/>
  <c r="B259" i="39" s="1"/>
  <c r="AF32" i="39"/>
  <c r="B217" i="39" s="1"/>
  <c r="Z32" i="39"/>
  <c r="B175" i="39" s="1"/>
  <c r="T32" i="39"/>
  <c r="B133" i="39" s="1"/>
  <c r="N32" i="39"/>
  <c r="B91" i="39" s="1"/>
  <c r="H32" i="39"/>
  <c r="BH31" i="39"/>
  <c r="BB31" i="39"/>
  <c r="AV31" i="39"/>
  <c r="AL31" i="39"/>
  <c r="B258" i="39" s="1"/>
  <c r="AF31" i="39"/>
  <c r="B216" i="39" s="1"/>
  <c r="Z31" i="39"/>
  <c r="B174" i="39" s="1"/>
  <c r="T31" i="39"/>
  <c r="B132" i="39" s="1"/>
  <c r="N31" i="39"/>
  <c r="B90" i="39" s="1"/>
  <c r="L31" i="39"/>
  <c r="F31" i="39"/>
  <c r="BF30" i="39"/>
  <c r="AZ30" i="39"/>
  <c r="AT30" i="39"/>
  <c r="AL30" i="39"/>
  <c r="B257" i="39" s="1"/>
  <c r="AF30" i="39"/>
  <c r="B215" i="39" s="1"/>
  <c r="Z30" i="39"/>
  <c r="B173" i="39" s="1"/>
  <c r="T30" i="39"/>
  <c r="B131" i="39" s="1"/>
  <c r="N30" i="39"/>
  <c r="B89" i="39" s="1"/>
  <c r="J30" i="39"/>
  <c r="F30" i="39"/>
  <c r="G30" i="39" s="1"/>
  <c r="BF29" i="39"/>
  <c r="BF31" i="39" s="1"/>
  <c r="AZ29" i="39"/>
  <c r="AZ31" i="39" s="1"/>
  <c r="BB32" i="39" s="1"/>
  <c r="C303" i="39" s="1"/>
  <c r="AT29" i="39"/>
  <c r="AT31" i="39" s="1"/>
  <c r="AL29" i="39"/>
  <c r="B256" i="39" s="1"/>
  <c r="AF29" i="39"/>
  <c r="B214" i="39" s="1"/>
  <c r="Z29" i="39"/>
  <c r="B172" i="39" s="1"/>
  <c r="T29" i="39"/>
  <c r="B130" i="39" s="1"/>
  <c r="N29" i="39"/>
  <c r="B88" i="39" s="1"/>
  <c r="J29" i="39"/>
  <c r="J31" i="39" s="1"/>
  <c r="AL28" i="39"/>
  <c r="B255" i="39" s="1"/>
  <c r="AF28" i="39"/>
  <c r="B213" i="39" s="1"/>
  <c r="Z28" i="39"/>
  <c r="B171" i="39" s="1"/>
  <c r="T28" i="39"/>
  <c r="B129" i="39" s="1"/>
  <c r="N28" i="39"/>
  <c r="B87" i="39" s="1"/>
  <c r="AL27" i="39"/>
  <c r="B254" i="39" s="1"/>
  <c r="AF27" i="39"/>
  <c r="B212" i="39" s="1"/>
  <c r="Z27" i="39"/>
  <c r="B170" i="39" s="1"/>
  <c r="T27" i="39"/>
  <c r="B128" i="39" s="1"/>
  <c r="N27" i="39"/>
  <c r="B86" i="39" s="1"/>
  <c r="H27" i="39"/>
  <c r="E27" i="39"/>
  <c r="BH26" i="39"/>
  <c r="BB26" i="39"/>
  <c r="AV26" i="39"/>
  <c r="AP26" i="39"/>
  <c r="AJ26" i="39"/>
  <c r="AD26" i="39"/>
  <c r="X26" i="39"/>
  <c r="R26" i="39"/>
  <c r="L26" i="39"/>
  <c r="E26" i="39"/>
  <c r="G26" i="39" s="1"/>
  <c r="BF25" i="39"/>
  <c r="AZ25" i="39"/>
  <c r="AT25" i="39"/>
  <c r="AN25" i="39"/>
  <c r="AH25" i="39"/>
  <c r="AB25" i="39"/>
  <c r="V25" i="39"/>
  <c r="P25" i="39"/>
  <c r="J25" i="39"/>
  <c r="G25" i="39"/>
  <c r="BF24" i="39"/>
  <c r="BF26" i="39" s="1"/>
  <c r="AZ24" i="39"/>
  <c r="AZ26" i="39" s="1"/>
  <c r="AT24" i="39"/>
  <c r="AT26" i="39" s="1"/>
  <c r="AN24" i="39"/>
  <c r="AN26" i="39" s="1"/>
  <c r="AH24" i="39"/>
  <c r="AH26" i="39" s="1"/>
  <c r="AB24" i="39"/>
  <c r="AB26" i="39" s="1"/>
  <c r="V24" i="39"/>
  <c r="V26" i="39" s="1"/>
  <c r="P24" i="39"/>
  <c r="P26" i="39" s="1"/>
  <c r="J24" i="39"/>
  <c r="J26" i="39" s="1"/>
  <c r="G24" i="39"/>
  <c r="AL22" i="39"/>
  <c r="B253" i="39" s="1"/>
  <c r="AF22" i="39"/>
  <c r="B211" i="39" s="1"/>
  <c r="Z22" i="39"/>
  <c r="B169" i="39" s="1"/>
  <c r="T22" i="39"/>
  <c r="B127" i="39" s="1"/>
  <c r="N22" i="39"/>
  <c r="B85" i="39" s="1"/>
  <c r="H22" i="39"/>
  <c r="BH21" i="39"/>
  <c r="BB21" i="39"/>
  <c r="AV21" i="39"/>
  <c r="AL21" i="39"/>
  <c r="B252" i="39" s="1"/>
  <c r="AF21" i="39"/>
  <c r="B210" i="39" s="1"/>
  <c r="Z21" i="39"/>
  <c r="B168" i="39" s="1"/>
  <c r="T21" i="39"/>
  <c r="B126" i="39" s="1"/>
  <c r="N21" i="39"/>
  <c r="B84" i="39" s="1"/>
  <c r="L21" i="39"/>
  <c r="F21" i="39"/>
  <c r="BF20" i="39"/>
  <c r="AZ20" i="39"/>
  <c r="AT20" i="39"/>
  <c r="AL20" i="39"/>
  <c r="B251" i="39" s="1"/>
  <c r="AF20" i="39"/>
  <c r="B209" i="39" s="1"/>
  <c r="Z20" i="39"/>
  <c r="B167" i="39" s="1"/>
  <c r="T20" i="39"/>
  <c r="B125" i="39" s="1"/>
  <c r="N20" i="39"/>
  <c r="B83" i="39" s="1"/>
  <c r="J20" i="39"/>
  <c r="F20" i="39"/>
  <c r="G20" i="39" s="1"/>
  <c r="BF19" i="39"/>
  <c r="BF21" i="39" s="1"/>
  <c r="AZ19" i="39"/>
  <c r="AZ21" i="39" s="1"/>
  <c r="BB22" i="39" s="1"/>
  <c r="C301" i="39" s="1"/>
  <c r="AT19" i="39"/>
  <c r="AT21" i="39" s="1"/>
  <c r="AL19" i="39"/>
  <c r="B250" i="39" s="1"/>
  <c r="AF19" i="39"/>
  <c r="B208" i="39" s="1"/>
  <c r="Z19" i="39"/>
  <c r="B166" i="39" s="1"/>
  <c r="T19" i="39"/>
  <c r="B124" i="39" s="1"/>
  <c r="N19" i="39"/>
  <c r="B82" i="39" s="1"/>
  <c r="J19" i="39"/>
  <c r="J21" i="39" s="1"/>
  <c r="AL18" i="39"/>
  <c r="B249" i="39" s="1"/>
  <c r="AF18" i="39"/>
  <c r="B207" i="39" s="1"/>
  <c r="Z18" i="39"/>
  <c r="B165" i="39" s="1"/>
  <c r="T18" i="39"/>
  <c r="B123" i="39" s="1"/>
  <c r="N18" i="39"/>
  <c r="B81" i="39" s="1"/>
  <c r="AL17" i="39"/>
  <c r="B248" i="39" s="1"/>
  <c r="AF17" i="39"/>
  <c r="B206" i="39" s="1"/>
  <c r="Z17" i="39"/>
  <c r="B164" i="39" s="1"/>
  <c r="T17" i="39"/>
  <c r="B122" i="39" s="1"/>
  <c r="N17" i="39"/>
  <c r="B80" i="39" s="1"/>
  <c r="H17" i="39"/>
  <c r="E17" i="39"/>
  <c r="BH16" i="39"/>
  <c r="BB16" i="39"/>
  <c r="AV16" i="39"/>
  <c r="AP16" i="39"/>
  <c r="AJ16" i="39"/>
  <c r="AD16" i="39"/>
  <c r="X16" i="39"/>
  <c r="R16" i="39"/>
  <c r="L16" i="39"/>
  <c r="E16" i="39"/>
  <c r="G16" i="39" s="1"/>
  <c r="BF15" i="39"/>
  <c r="AZ15" i="39"/>
  <c r="AT15" i="39"/>
  <c r="AN15" i="39"/>
  <c r="AH15" i="39"/>
  <c r="AB15" i="39"/>
  <c r="V15" i="39"/>
  <c r="P15" i="39"/>
  <c r="J15" i="39"/>
  <c r="G15" i="39"/>
  <c r="BF14" i="39"/>
  <c r="BF16" i="39" s="1"/>
  <c r="AZ14" i="39"/>
  <c r="AZ16" i="39" s="1"/>
  <c r="AT14" i="39"/>
  <c r="AT16" i="39" s="1"/>
  <c r="AN14" i="39"/>
  <c r="AN16" i="39" s="1"/>
  <c r="AH14" i="39"/>
  <c r="AH16" i="39" s="1"/>
  <c r="AB14" i="39"/>
  <c r="AB16" i="39" s="1"/>
  <c r="V14" i="39"/>
  <c r="V16" i="39" s="1"/>
  <c r="P14" i="39"/>
  <c r="P16" i="39" s="1"/>
  <c r="J14" i="39"/>
  <c r="J16" i="39" s="1"/>
  <c r="G14" i="39"/>
  <c r="AL12" i="39"/>
  <c r="B247" i="39" s="1"/>
  <c r="AF12" i="39"/>
  <c r="B205" i="39" s="1"/>
  <c r="Z12" i="39"/>
  <c r="B163" i="39" s="1"/>
  <c r="T12" i="39"/>
  <c r="B121" i="39" s="1"/>
  <c r="N12" i="39"/>
  <c r="B79" i="39" s="1"/>
  <c r="H12" i="39"/>
  <c r="B326" i="39" s="1"/>
  <c r="BH11" i="39"/>
  <c r="BB11" i="39"/>
  <c r="AV11" i="39"/>
  <c r="AL11" i="39"/>
  <c r="B246" i="39" s="1"/>
  <c r="AF11" i="39"/>
  <c r="B204" i="39" s="1"/>
  <c r="Z11" i="39"/>
  <c r="B162" i="39" s="1"/>
  <c r="T11" i="39"/>
  <c r="B120" i="39" s="1"/>
  <c r="N11" i="39"/>
  <c r="B78" i="39" s="1"/>
  <c r="L11" i="39"/>
  <c r="F11" i="39"/>
  <c r="BF10" i="39"/>
  <c r="AZ10" i="39"/>
  <c r="AT10" i="39"/>
  <c r="AL10" i="39"/>
  <c r="B245" i="39" s="1"/>
  <c r="AF10" i="39"/>
  <c r="B203" i="39" s="1"/>
  <c r="Z10" i="39"/>
  <c r="B161" i="39" s="1"/>
  <c r="T10" i="39"/>
  <c r="B119" i="39" s="1"/>
  <c r="N10" i="39"/>
  <c r="B77" i="39" s="1"/>
  <c r="J10" i="39"/>
  <c r="F10" i="39"/>
  <c r="G10" i="39" s="1"/>
  <c r="BF9" i="39"/>
  <c r="BF11" i="39" s="1"/>
  <c r="AZ9" i="39"/>
  <c r="AZ11" i="39" s="1"/>
  <c r="BB12" i="39" s="1"/>
  <c r="C299" i="39" s="1"/>
  <c r="AT9" i="39"/>
  <c r="AT11" i="39" s="1"/>
  <c r="AL9" i="39"/>
  <c r="B244" i="39" s="1"/>
  <c r="AF9" i="39"/>
  <c r="B202" i="39" s="1"/>
  <c r="Z9" i="39"/>
  <c r="B160" i="39" s="1"/>
  <c r="T9" i="39"/>
  <c r="B118" i="39" s="1"/>
  <c r="N9" i="39"/>
  <c r="B76" i="39" s="1"/>
  <c r="J9" i="39"/>
  <c r="J11" i="39" s="1"/>
  <c r="AL8" i="39"/>
  <c r="B243" i="39" s="1"/>
  <c r="AF8" i="39"/>
  <c r="B201" i="39" s="1"/>
  <c r="Z8" i="39"/>
  <c r="B159" i="39" s="1"/>
  <c r="T8" i="39"/>
  <c r="B117" i="39" s="1"/>
  <c r="N8" i="39"/>
  <c r="B75" i="39" s="1"/>
  <c r="AL7" i="39"/>
  <c r="B242" i="39" s="1"/>
  <c r="AF7" i="39"/>
  <c r="B200" i="39" s="1"/>
  <c r="Z7" i="39"/>
  <c r="B158" i="39" s="1"/>
  <c r="T7" i="39"/>
  <c r="B116" i="39" s="1"/>
  <c r="N7" i="39"/>
  <c r="B74" i="39" s="1"/>
  <c r="H7" i="39"/>
  <c r="E7" i="39"/>
  <c r="BH6" i="39"/>
  <c r="BB6" i="39"/>
  <c r="AV6" i="39"/>
  <c r="AP6" i="39"/>
  <c r="AJ6" i="39"/>
  <c r="AD6" i="39"/>
  <c r="X6" i="39"/>
  <c r="R6" i="39"/>
  <c r="L6" i="39"/>
  <c r="E6" i="39"/>
  <c r="G6" i="39" s="1"/>
  <c r="BF5" i="39"/>
  <c r="AZ5" i="39"/>
  <c r="AT5" i="39"/>
  <c r="AN5" i="39"/>
  <c r="AH5" i="39"/>
  <c r="AB5" i="39"/>
  <c r="V5" i="39"/>
  <c r="P5" i="39"/>
  <c r="J5" i="39"/>
  <c r="G5" i="39"/>
  <c r="BF4" i="39"/>
  <c r="BF6" i="39" s="1"/>
  <c r="AZ4" i="39"/>
  <c r="AZ6" i="39" s="1"/>
  <c r="AT4" i="39"/>
  <c r="AT6" i="39" s="1"/>
  <c r="AN4" i="39"/>
  <c r="AN6" i="39" s="1"/>
  <c r="AH4" i="39"/>
  <c r="AH6" i="39" s="1"/>
  <c r="AB4" i="39"/>
  <c r="AB6" i="39" s="1"/>
  <c r="V4" i="39"/>
  <c r="V6" i="39" s="1"/>
  <c r="P4" i="39"/>
  <c r="P6" i="39" s="1"/>
  <c r="J4" i="39"/>
  <c r="J6" i="39" s="1"/>
  <c r="G4" i="39"/>
  <c r="A3" i="39"/>
  <c r="A13" i="39" s="1"/>
  <c r="A23" i="39" s="1"/>
  <c r="A33" i="39" s="1"/>
  <c r="A43" i="39" s="1"/>
  <c r="A53" i="39" s="1"/>
  <c r="A63" i="39" s="1"/>
  <c r="N31" i="30"/>
  <c r="N30" i="30"/>
  <c r="N29" i="30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14" i="30"/>
  <c r="N13" i="30"/>
  <c r="N12" i="30"/>
  <c r="N11" i="30"/>
  <c r="N10" i="30"/>
  <c r="N9" i="30"/>
  <c r="N8" i="30"/>
  <c r="N7" i="30"/>
  <c r="N6" i="30"/>
  <c r="N5" i="30"/>
  <c r="N4" i="30"/>
  <c r="N3" i="30"/>
  <c r="N2" i="30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R62" i="28"/>
  <c r="S60" i="28"/>
  <c r="S59" i="28"/>
  <c r="S58" i="28"/>
  <c r="S57" i="28"/>
  <c r="S56" i="28"/>
  <c r="N53" i="28"/>
  <c r="N52" i="28"/>
  <c r="N51" i="28"/>
  <c r="N50" i="28"/>
  <c r="N49" i="28"/>
  <c r="N48" i="28"/>
  <c r="N47" i="28"/>
  <c r="N45" i="28"/>
  <c r="N41" i="28"/>
  <c r="N40" i="28"/>
  <c r="N39" i="28"/>
  <c r="N38" i="28"/>
  <c r="N36" i="28"/>
  <c r="N35" i="28"/>
  <c r="N34" i="28"/>
  <c r="N33" i="28"/>
  <c r="N32" i="28"/>
  <c r="N31" i="28"/>
  <c r="N30" i="28"/>
  <c r="N29" i="28"/>
  <c r="N28" i="28"/>
  <c r="N27" i="28"/>
  <c r="N26" i="28"/>
  <c r="N25" i="28"/>
  <c r="N24" i="28"/>
  <c r="N23" i="28"/>
  <c r="N22" i="28"/>
  <c r="N21" i="28"/>
  <c r="N20" i="28"/>
  <c r="N19" i="28"/>
  <c r="N18" i="28"/>
  <c r="N17" i="28"/>
  <c r="N16" i="28"/>
  <c r="N15" i="28"/>
  <c r="N14" i="28"/>
  <c r="N13" i="28"/>
  <c r="N12" i="28"/>
  <c r="N10" i="28"/>
  <c r="N9" i="28"/>
  <c r="N8" i="28"/>
  <c r="N7" i="28"/>
  <c r="N6" i="28"/>
  <c r="N5" i="28"/>
  <c r="N4" i="28"/>
  <c r="N3" i="28"/>
  <c r="N2" i="28"/>
  <c r="N1" i="28"/>
  <c r="N66" i="27"/>
  <c r="N65" i="27"/>
  <c r="N64" i="27"/>
  <c r="N62" i="27"/>
  <c r="N61" i="27"/>
  <c r="N58" i="27"/>
  <c r="N57" i="27"/>
  <c r="P51" i="27"/>
  <c r="R45" i="27" s="1"/>
  <c r="N51" i="27"/>
  <c r="N48" i="27"/>
  <c r="N47" i="27"/>
  <c r="N46" i="27"/>
  <c r="N44" i="27"/>
  <c r="N43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3" i="27"/>
  <c r="N20" i="27"/>
  <c r="N19" i="27"/>
  <c r="N18" i="27"/>
  <c r="N16" i="27"/>
  <c r="N15" i="27"/>
  <c r="N12" i="27"/>
  <c r="N11" i="27"/>
  <c r="N10" i="27"/>
  <c r="N9" i="27"/>
  <c r="N8" i="27"/>
  <c r="N7" i="27"/>
  <c r="N6" i="27"/>
  <c r="N3" i="27"/>
  <c r="N2" i="27"/>
  <c r="N1" i="27"/>
  <c r="N63" i="23"/>
  <c r="N62" i="23"/>
  <c r="N61" i="23"/>
  <c r="N60" i="23"/>
  <c r="N59" i="23"/>
  <c r="N58" i="23"/>
  <c r="N56" i="23"/>
  <c r="N55" i="23"/>
  <c r="N54" i="23"/>
  <c r="N53" i="23"/>
  <c r="N52" i="23"/>
  <c r="N48" i="23"/>
  <c r="N47" i="23"/>
  <c r="N46" i="23"/>
  <c r="N45" i="23"/>
  <c r="N44" i="23"/>
  <c r="N42" i="23"/>
  <c r="N41" i="23"/>
  <c r="N36" i="23"/>
  <c r="N35" i="23"/>
  <c r="N34" i="23"/>
  <c r="N33" i="23"/>
  <c r="N32" i="23"/>
  <c r="N30" i="23"/>
  <c r="N29" i="23"/>
  <c r="N27" i="23"/>
  <c r="R24" i="23"/>
  <c r="N25" i="23"/>
  <c r="N24" i="23"/>
  <c r="N23" i="23"/>
  <c r="N22" i="23"/>
  <c r="N21" i="23"/>
  <c r="N20" i="23"/>
  <c r="N19" i="23"/>
  <c r="N18" i="23"/>
  <c r="N17" i="23"/>
  <c r="N16" i="23"/>
  <c r="N14" i="23"/>
  <c r="N13" i="23"/>
  <c r="N12" i="23"/>
  <c r="N11" i="23"/>
  <c r="N10" i="23"/>
  <c r="N9" i="23"/>
  <c r="N8" i="23"/>
  <c r="N6" i="23"/>
  <c r="N5" i="23"/>
  <c r="N3" i="23"/>
  <c r="N2" i="23"/>
  <c r="N1" i="23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AP72" i="21"/>
  <c r="C283" i="21" s="1"/>
  <c r="AL72" i="21"/>
  <c r="B283" i="21" s="1"/>
  <c r="AF72" i="21"/>
  <c r="B241" i="21" s="1"/>
  <c r="AD72" i="21"/>
  <c r="C199" i="21" s="1"/>
  <c r="Z72" i="21"/>
  <c r="B199" i="21" s="1"/>
  <c r="T72" i="21"/>
  <c r="B157" i="21" s="1"/>
  <c r="R72" i="21"/>
  <c r="C115" i="21" s="1"/>
  <c r="N72" i="21"/>
  <c r="B115" i="21" s="1"/>
  <c r="H72" i="21"/>
  <c r="F72" i="21"/>
  <c r="BH71" i="21"/>
  <c r="BB71" i="21"/>
  <c r="AW71" i="21"/>
  <c r="AV71" i="21"/>
  <c r="AP71" i="21"/>
  <c r="C282" i="21" s="1"/>
  <c r="AL71" i="21"/>
  <c r="B282" i="21" s="1"/>
  <c r="AF71" i="21"/>
  <c r="B240" i="21" s="1"/>
  <c r="AD71" i="21"/>
  <c r="C198" i="21" s="1"/>
  <c r="Z71" i="21"/>
  <c r="B198" i="21" s="1"/>
  <c r="T71" i="21"/>
  <c r="B156" i="21" s="1"/>
  <c r="R71" i="21"/>
  <c r="C114" i="21" s="1"/>
  <c r="N71" i="21"/>
  <c r="B114" i="21" s="1"/>
  <c r="L71" i="21"/>
  <c r="M71" i="21" s="1"/>
  <c r="J71" i="21"/>
  <c r="F71" i="21"/>
  <c r="G71" i="21" s="1"/>
  <c r="BI70" i="21"/>
  <c r="BF70" i="21"/>
  <c r="AZ70" i="21"/>
  <c r="AW70" i="21"/>
  <c r="AT70" i="21"/>
  <c r="AL70" i="21"/>
  <c r="B281" i="21" s="1"/>
  <c r="AF70" i="21"/>
  <c r="B239" i="21" s="1"/>
  <c r="Z70" i="21"/>
  <c r="B197" i="21" s="1"/>
  <c r="T70" i="21"/>
  <c r="B155" i="21" s="1"/>
  <c r="N70" i="21"/>
  <c r="B113" i="21" s="1"/>
  <c r="M70" i="21"/>
  <c r="J70" i="21"/>
  <c r="F70" i="21"/>
  <c r="G70" i="21" s="1"/>
  <c r="BI69" i="21"/>
  <c r="BF69" i="21"/>
  <c r="BF71" i="21" s="1"/>
  <c r="BH72" i="21" s="1"/>
  <c r="C325" i="21" s="1"/>
  <c r="AZ69" i="21"/>
  <c r="AZ71" i="21" s="1"/>
  <c r="BB72" i="21" s="1"/>
  <c r="C311" i="21" s="1"/>
  <c r="AW69" i="21"/>
  <c r="AT69" i="21"/>
  <c r="AT71" i="21" s="1"/>
  <c r="AL69" i="21"/>
  <c r="B280" i="21" s="1"/>
  <c r="AF69" i="21"/>
  <c r="B238" i="21" s="1"/>
  <c r="Z69" i="21"/>
  <c r="B196" i="21" s="1"/>
  <c r="T69" i="21"/>
  <c r="B154" i="21" s="1"/>
  <c r="N69" i="21"/>
  <c r="B112" i="21" s="1"/>
  <c r="M69" i="21"/>
  <c r="J69" i="21"/>
  <c r="AL68" i="21"/>
  <c r="B279" i="21" s="1"/>
  <c r="AF68" i="21"/>
  <c r="B237" i="21" s="1"/>
  <c r="Z68" i="21"/>
  <c r="B195" i="21" s="1"/>
  <c r="T68" i="21"/>
  <c r="B153" i="21" s="1"/>
  <c r="N68" i="21"/>
  <c r="B111" i="21" s="1"/>
  <c r="E68" i="21"/>
  <c r="AP67" i="21"/>
  <c r="C278" i="21" s="1"/>
  <c r="AL67" i="21"/>
  <c r="B278" i="21" s="1"/>
  <c r="AF67" i="21"/>
  <c r="B236" i="21" s="1"/>
  <c r="AD67" i="21"/>
  <c r="C194" i="21" s="1"/>
  <c r="Z67" i="21"/>
  <c r="B194" i="21" s="1"/>
  <c r="T67" i="21"/>
  <c r="B152" i="21" s="1"/>
  <c r="R67" i="21"/>
  <c r="C110" i="21" s="1"/>
  <c r="N67" i="21"/>
  <c r="B110" i="21" s="1"/>
  <c r="H67" i="21"/>
  <c r="B327" i="21" s="1"/>
  <c r="E67" i="21"/>
  <c r="G66" i="21" s="1"/>
  <c r="BH66" i="21"/>
  <c r="BB66" i="21"/>
  <c r="AZ66" i="21"/>
  <c r="BB67" i="21" s="1"/>
  <c r="C310" i="21" s="1"/>
  <c r="AV66" i="21"/>
  <c r="AP66" i="21"/>
  <c r="AN66" i="21"/>
  <c r="AP70" i="21" s="1"/>
  <c r="C281" i="21" s="1"/>
  <c r="AM66" i="21"/>
  <c r="AJ66" i="21"/>
  <c r="AD66" i="21"/>
  <c r="AB66" i="21"/>
  <c r="AD70" i="21" s="1"/>
  <c r="C197" i="21" s="1"/>
  <c r="X66" i="21"/>
  <c r="R66" i="21"/>
  <c r="P66" i="21"/>
  <c r="R70" i="21" s="1"/>
  <c r="C113" i="21" s="1"/>
  <c r="L66" i="21"/>
  <c r="E66" i="21"/>
  <c r="BF65" i="21"/>
  <c r="AZ65" i="21"/>
  <c r="AT65" i="21"/>
  <c r="AN65" i="21"/>
  <c r="AH65" i="21"/>
  <c r="AB65" i="21"/>
  <c r="V65" i="21"/>
  <c r="P65" i="21"/>
  <c r="J65" i="21"/>
  <c r="G65" i="21"/>
  <c r="BF64" i="21"/>
  <c r="BF66" i="21" s="1"/>
  <c r="BH67" i="21" s="1"/>
  <c r="C324" i="21" s="1"/>
  <c r="BC64" i="21"/>
  <c r="AZ64" i="21"/>
  <c r="AT64" i="21"/>
  <c r="AQ64" i="21"/>
  <c r="AN64" i="21"/>
  <c r="AH64" i="21"/>
  <c r="AH66" i="21" s="1"/>
  <c r="AJ69" i="21" s="1"/>
  <c r="C238" i="21" s="1"/>
  <c r="AE64" i="21"/>
  <c r="AB64" i="21"/>
  <c r="V64" i="21"/>
  <c r="S64" i="21"/>
  <c r="P64" i="21"/>
  <c r="J64" i="21"/>
  <c r="J66" i="21" s="1"/>
  <c r="L67" i="21" s="1"/>
  <c r="G64" i="21"/>
  <c r="O66" i="21" s="1"/>
  <c r="AV62" i="21"/>
  <c r="C295" i="21" s="1"/>
  <c r="AL62" i="21"/>
  <c r="B277" i="21" s="1"/>
  <c r="AF62" i="21"/>
  <c r="B235" i="21" s="1"/>
  <c r="Z62" i="21"/>
  <c r="B193" i="21" s="1"/>
  <c r="T62" i="21"/>
  <c r="B151" i="21" s="1"/>
  <c r="N62" i="21"/>
  <c r="B109" i="21" s="1"/>
  <c r="L62" i="21"/>
  <c r="H62" i="21"/>
  <c r="BH61" i="21"/>
  <c r="BF61" i="21"/>
  <c r="BB61" i="21"/>
  <c r="BC61" i="21" s="1"/>
  <c r="AV61" i="21"/>
  <c r="AT61" i="21"/>
  <c r="AS61" i="21"/>
  <c r="AL61" i="21"/>
  <c r="B276" i="21" s="1"/>
  <c r="AF61" i="21"/>
  <c r="B234" i="21" s="1"/>
  <c r="Z61" i="21"/>
  <c r="B192" i="21" s="1"/>
  <c r="T61" i="21"/>
  <c r="B150" i="21" s="1"/>
  <c r="N61" i="21"/>
  <c r="B108" i="21" s="1"/>
  <c r="L61" i="21"/>
  <c r="J61" i="21"/>
  <c r="I61" i="21" s="1"/>
  <c r="F61" i="21"/>
  <c r="G61" i="21" s="1"/>
  <c r="BF60" i="21"/>
  <c r="AZ60" i="21"/>
  <c r="AT60" i="21"/>
  <c r="AL60" i="21"/>
  <c r="B275" i="21" s="1"/>
  <c r="AF60" i="21"/>
  <c r="B233" i="21" s="1"/>
  <c r="Z60" i="21"/>
  <c r="B191" i="21" s="1"/>
  <c r="T60" i="21"/>
  <c r="B149" i="21" s="1"/>
  <c r="N60" i="21"/>
  <c r="B107" i="21" s="1"/>
  <c r="J60" i="21"/>
  <c r="F60" i="21"/>
  <c r="BF59" i="21"/>
  <c r="AZ59" i="21"/>
  <c r="AZ61" i="21" s="1"/>
  <c r="BB62" i="21" s="1"/>
  <c r="C309" i="21" s="1"/>
  <c r="AT59" i="21"/>
  <c r="AL59" i="21"/>
  <c r="B274" i="21" s="1"/>
  <c r="AF59" i="21"/>
  <c r="B232" i="21" s="1"/>
  <c r="Z59" i="21"/>
  <c r="B190" i="21" s="1"/>
  <c r="T59" i="21"/>
  <c r="B148" i="21" s="1"/>
  <c r="N59" i="21"/>
  <c r="B106" i="21" s="1"/>
  <c r="J59" i="21"/>
  <c r="AL58" i="21"/>
  <c r="B273" i="21" s="1"/>
  <c r="AF58" i="21"/>
  <c r="B231" i="21" s="1"/>
  <c r="Z58" i="21"/>
  <c r="B189" i="21" s="1"/>
  <c r="T58" i="21"/>
  <c r="B147" i="21" s="1"/>
  <c r="N58" i="21"/>
  <c r="B105" i="21" s="1"/>
  <c r="AL57" i="21"/>
  <c r="B272" i="21" s="1"/>
  <c r="AF57" i="21"/>
  <c r="B230" i="21" s="1"/>
  <c r="Z57" i="21"/>
  <c r="B188" i="21" s="1"/>
  <c r="T57" i="21"/>
  <c r="B146" i="21" s="1"/>
  <c r="N57" i="21"/>
  <c r="B104" i="21" s="1"/>
  <c r="H57" i="21"/>
  <c r="E57" i="21"/>
  <c r="BH56" i="21"/>
  <c r="BF56" i="21"/>
  <c r="BB56" i="21"/>
  <c r="AZ56" i="21"/>
  <c r="AV56" i="21"/>
  <c r="AT56" i="21"/>
  <c r="AS56" i="21" s="1"/>
  <c r="AP56" i="21"/>
  <c r="AN56" i="21"/>
  <c r="AJ56" i="21"/>
  <c r="AH56" i="21"/>
  <c r="AD56" i="21"/>
  <c r="AB56" i="21"/>
  <c r="X56" i="21"/>
  <c r="V56" i="21"/>
  <c r="R56" i="21"/>
  <c r="P56" i="21"/>
  <c r="L56" i="21"/>
  <c r="F62" i="21" s="1"/>
  <c r="J56" i="21"/>
  <c r="E56" i="21"/>
  <c r="G56" i="21" s="1"/>
  <c r="BI55" i="21"/>
  <c r="BF55" i="21"/>
  <c r="AZ55" i="21"/>
  <c r="AT55" i="21"/>
  <c r="AN55" i="21"/>
  <c r="AK55" i="21"/>
  <c r="AH55" i="21"/>
  <c r="AB55" i="21"/>
  <c r="Y55" i="21"/>
  <c r="V55" i="21"/>
  <c r="P55" i="21"/>
  <c r="M55" i="21"/>
  <c r="J55" i="21"/>
  <c r="G55" i="21"/>
  <c r="BF54" i="21"/>
  <c r="AZ54" i="21"/>
  <c r="AT54" i="21"/>
  <c r="AN54" i="21"/>
  <c r="AH54" i="21"/>
  <c r="AB54" i="21"/>
  <c r="V54" i="21"/>
  <c r="P54" i="21"/>
  <c r="J54" i="21"/>
  <c r="G54" i="21"/>
  <c r="AL52" i="21"/>
  <c r="B271" i="21" s="1"/>
  <c r="AF52" i="21"/>
  <c r="B229" i="21" s="1"/>
  <c r="Z52" i="21"/>
  <c r="B187" i="21" s="1"/>
  <c r="T52" i="21"/>
  <c r="B145" i="21" s="1"/>
  <c r="N52" i="21"/>
  <c r="B103" i="21" s="1"/>
  <c r="H52" i="21"/>
  <c r="BH51" i="21"/>
  <c r="BB51" i="21"/>
  <c r="AV51" i="21"/>
  <c r="AL51" i="21"/>
  <c r="B270" i="21" s="1"/>
  <c r="AF51" i="21"/>
  <c r="B228" i="21" s="1"/>
  <c r="Z51" i="21"/>
  <c r="B186" i="21" s="1"/>
  <c r="T51" i="21"/>
  <c r="B144" i="21" s="1"/>
  <c r="N51" i="21"/>
  <c r="B102" i="21" s="1"/>
  <c r="L51" i="21"/>
  <c r="F51" i="21"/>
  <c r="G50" i="21" s="1"/>
  <c r="BF50" i="21"/>
  <c r="AZ50" i="21"/>
  <c r="AT50" i="21"/>
  <c r="AT51" i="21" s="1"/>
  <c r="AL50" i="21"/>
  <c r="B269" i="21" s="1"/>
  <c r="AF50" i="21"/>
  <c r="B227" i="21" s="1"/>
  <c r="Z50" i="21"/>
  <c r="B185" i="21" s="1"/>
  <c r="T50" i="21"/>
  <c r="B143" i="21" s="1"/>
  <c r="N50" i="21"/>
  <c r="B101" i="21" s="1"/>
  <c r="J50" i="21"/>
  <c r="F50" i="21"/>
  <c r="BF49" i="21"/>
  <c r="BF51" i="21" s="1"/>
  <c r="AZ49" i="21"/>
  <c r="AZ51" i="21" s="1"/>
  <c r="BB52" i="21" s="1"/>
  <c r="C307" i="21" s="1"/>
  <c r="AT49" i="21"/>
  <c r="AP49" i="21"/>
  <c r="C268" i="21" s="1"/>
  <c r="AL49" i="21"/>
  <c r="B268" i="21" s="1"/>
  <c r="AF49" i="21"/>
  <c r="B226" i="21" s="1"/>
  <c r="Z49" i="21"/>
  <c r="B184" i="21" s="1"/>
  <c r="T49" i="21"/>
  <c r="B142" i="21" s="1"/>
  <c r="N49" i="21"/>
  <c r="B100" i="21" s="1"/>
  <c r="J49" i="21"/>
  <c r="J51" i="21" s="1"/>
  <c r="I51" i="21" s="1"/>
  <c r="AL48" i="21"/>
  <c r="B267" i="21" s="1"/>
  <c r="AF48" i="21"/>
  <c r="B225" i="21" s="1"/>
  <c r="Z48" i="21"/>
  <c r="B183" i="21" s="1"/>
  <c r="T48" i="21"/>
  <c r="B141" i="21" s="1"/>
  <c r="N48" i="21"/>
  <c r="B99" i="21" s="1"/>
  <c r="AL47" i="21"/>
  <c r="B266" i="21" s="1"/>
  <c r="AF47" i="21"/>
  <c r="B224" i="21" s="1"/>
  <c r="Z47" i="21"/>
  <c r="B182" i="21" s="1"/>
  <c r="T47" i="21"/>
  <c r="B140" i="21" s="1"/>
  <c r="N47" i="21"/>
  <c r="B98" i="21" s="1"/>
  <c r="H47" i="21"/>
  <c r="E47" i="21"/>
  <c r="BH46" i="21"/>
  <c r="BF46" i="21"/>
  <c r="BE46" i="21" s="1"/>
  <c r="BB46" i="21"/>
  <c r="AV46" i="21"/>
  <c r="AP46" i="21"/>
  <c r="AN46" i="21"/>
  <c r="AJ46" i="21"/>
  <c r="AH46" i="21"/>
  <c r="AJ47" i="21" s="1"/>
  <c r="C224" i="21" s="1"/>
  <c r="AD46" i="21"/>
  <c r="X46" i="21"/>
  <c r="R46" i="21"/>
  <c r="L46" i="21"/>
  <c r="J46" i="21"/>
  <c r="I46" i="21" s="1"/>
  <c r="G46" i="21"/>
  <c r="E46" i="21"/>
  <c r="BF45" i="21"/>
  <c r="AZ45" i="21"/>
  <c r="AT45" i="21"/>
  <c r="AN45" i="21"/>
  <c r="AH45" i="21"/>
  <c r="AB45" i="21"/>
  <c r="V45" i="21"/>
  <c r="P45" i="21"/>
  <c r="J45" i="21"/>
  <c r="G45" i="21"/>
  <c r="BF44" i="21"/>
  <c r="AZ44" i="21"/>
  <c r="AZ46" i="21" s="1"/>
  <c r="AT44" i="21"/>
  <c r="AT46" i="21" s="1"/>
  <c r="AN44" i="21"/>
  <c r="AH44" i="21"/>
  <c r="AB44" i="21"/>
  <c r="AB46" i="21" s="1"/>
  <c r="V44" i="21"/>
  <c r="V46" i="21" s="1"/>
  <c r="P44" i="21"/>
  <c r="P46" i="21" s="1"/>
  <c r="J44" i="21"/>
  <c r="G44" i="21"/>
  <c r="AL42" i="21"/>
  <c r="B265" i="21" s="1"/>
  <c r="AF42" i="21"/>
  <c r="B223" i="21" s="1"/>
  <c r="Z42" i="21"/>
  <c r="B181" i="21" s="1"/>
  <c r="T42" i="21"/>
  <c r="B139" i="21" s="1"/>
  <c r="N42" i="21"/>
  <c r="B97" i="21" s="1"/>
  <c r="H42" i="21"/>
  <c r="BH41" i="21"/>
  <c r="BB41" i="21"/>
  <c r="AV41" i="21"/>
  <c r="AL41" i="21"/>
  <c r="B264" i="21" s="1"/>
  <c r="AF41" i="21"/>
  <c r="B222" i="21" s="1"/>
  <c r="Z41" i="21"/>
  <c r="B180" i="21" s="1"/>
  <c r="T41" i="21"/>
  <c r="B138" i="21" s="1"/>
  <c r="N41" i="21"/>
  <c r="B96" i="21" s="1"/>
  <c r="L41" i="21"/>
  <c r="F41" i="21"/>
  <c r="G41" i="21" s="1"/>
  <c r="BF40" i="21"/>
  <c r="AZ40" i="21"/>
  <c r="AT40" i="21"/>
  <c r="AL40" i="21"/>
  <c r="B263" i="21" s="1"/>
  <c r="AF40" i="21"/>
  <c r="B221" i="21" s="1"/>
  <c r="Z40" i="21"/>
  <c r="B179" i="21" s="1"/>
  <c r="T40" i="21"/>
  <c r="B137" i="21" s="1"/>
  <c r="N40" i="21"/>
  <c r="B95" i="21" s="1"/>
  <c r="J40" i="21"/>
  <c r="F40" i="21"/>
  <c r="G40" i="21" s="1"/>
  <c r="BF39" i="21"/>
  <c r="BF41" i="21" s="1"/>
  <c r="AZ39" i="21"/>
  <c r="AZ41" i="21" s="1"/>
  <c r="BB42" i="21" s="1"/>
  <c r="C305" i="21" s="1"/>
  <c r="AT39" i="21"/>
  <c r="AT41" i="21" s="1"/>
  <c r="AL39" i="21"/>
  <c r="B262" i="21" s="1"/>
  <c r="AF39" i="21"/>
  <c r="B220" i="21" s="1"/>
  <c r="Z39" i="21"/>
  <c r="B178" i="21" s="1"/>
  <c r="T39" i="21"/>
  <c r="B136" i="21" s="1"/>
  <c r="N39" i="21"/>
  <c r="B94" i="21" s="1"/>
  <c r="J39" i="21"/>
  <c r="J41" i="21" s="1"/>
  <c r="AL38" i="21"/>
  <c r="B261" i="21" s="1"/>
  <c r="AF38" i="21"/>
  <c r="B219" i="21" s="1"/>
  <c r="Z38" i="21"/>
  <c r="B177" i="21" s="1"/>
  <c r="T38" i="21"/>
  <c r="B135" i="21" s="1"/>
  <c r="N38" i="21"/>
  <c r="B93" i="21" s="1"/>
  <c r="AL37" i="21"/>
  <c r="B260" i="21" s="1"/>
  <c r="AF37" i="21"/>
  <c r="B218" i="21" s="1"/>
  <c r="Z37" i="21"/>
  <c r="B176" i="21" s="1"/>
  <c r="T37" i="21"/>
  <c r="B134" i="21" s="1"/>
  <c r="N37" i="21"/>
  <c r="B92" i="21" s="1"/>
  <c r="H37" i="21"/>
  <c r="E37" i="21"/>
  <c r="BH36" i="21"/>
  <c r="BB36" i="21"/>
  <c r="AV36" i="21"/>
  <c r="AP36" i="21"/>
  <c r="AJ36" i="21"/>
  <c r="AD36" i="21"/>
  <c r="X36" i="21"/>
  <c r="R36" i="21"/>
  <c r="L36" i="21"/>
  <c r="G36" i="21"/>
  <c r="E36" i="21"/>
  <c r="BF35" i="21"/>
  <c r="AZ35" i="21"/>
  <c r="AT35" i="21"/>
  <c r="AN35" i="21"/>
  <c r="AH35" i="21"/>
  <c r="AB35" i="21"/>
  <c r="V35" i="21"/>
  <c r="P35" i="21"/>
  <c r="J35" i="21"/>
  <c r="G35" i="21"/>
  <c r="F42" i="21" s="1"/>
  <c r="BF34" i="21"/>
  <c r="BF36" i="21" s="1"/>
  <c r="AZ34" i="21"/>
  <c r="AZ36" i="21" s="1"/>
  <c r="AT34" i="21"/>
  <c r="AT36" i="21" s="1"/>
  <c r="AN34" i="21"/>
  <c r="AN36" i="21" s="1"/>
  <c r="AH34" i="21"/>
  <c r="AH36" i="21" s="1"/>
  <c r="AB34" i="21"/>
  <c r="AB36" i="21" s="1"/>
  <c r="V34" i="21"/>
  <c r="V36" i="21" s="1"/>
  <c r="P34" i="21"/>
  <c r="P36" i="21" s="1"/>
  <c r="J34" i="21"/>
  <c r="J36" i="21" s="1"/>
  <c r="G34" i="21"/>
  <c r="AL32" i="21"/>
  <c r="B259" i="21" s="1"/>
  <c r="AF32" i="21"/>
  <c r="B217" i="21" s="1"/>
  <c r="Z32" i="21"/>
  <c r="B175" i="21" s="1"/>
  <c r="T32" i="21"/>
  <c r="B133" i="21" s="1"/>
  <c r="N32" i="21"/>
  <c r="B91" i="21" s="1"/>
  <c r="H32" i="21"/>
  <c r="BH31" i="21"/>
  <c r="BF31" i="21"/>
  <c r="BH32" i="21" s="1"/>
  <c r="C317" i="21" s="1"/>
  <c r="BB31" i="21"/>
  <c r="AV31" i="21"/>
  <c r="AT31" i="21"/>
  <c r="AV32" i="21" s="1"/>
  <c r="C289" i="21" s="1"/>
  <c r="AL31" i="21"/>
  <c r="B258" i="21" s="1"/>
  <c r="AF31" i="21"/>
  <c r="B216" i="21" s="1"/>
  <c r="Z31" i="21"/>
  <c r="B174" i="21" s="1"/>
  <c r="T31" i="21"/>
  <c r="B132" i="21" s="1"/>
  <c r="N31" i="21"/>
  <c r="B90" i="21" s="1"/>
  <c r="L31" i="21"/>
  <c r="J31" i="21"/>
  <c r="I31" i="21" s="1"/>
  <c r="F31" i="21"/>
  <c r="G31" i="21" s="1"/>
  <c r="BF30" i="21"/>
  <c r="AZ30" i="21"/>
  <c r="AT30" i="21"/>
  <c r="AL30" i="21"/>
  <c r="B257" i="21" s="1"/>
  <c r="AF30" i="21"/>
  <c r="B215" i="21" s="1"/>
  <c r="Z30" i="21"/>
  <c r="B173" i="21" s="1"/>
  <c r="T30" i="21"/>
  <c r="B131" i="21" s="1"/>
  <c r="N30" i="21"/>
  <c r="B89" i="21" s="1"/>
  <c r="J30" i="21"/>
  <c r="F30" i="21"/>
  <c r="G30" i="21" s="1"/>
  <c r="BF29" i="21"/>
  <c r="AZ29" i="21"/>
  <c r="AZ31" i="21" s="1"/>
  <c r="BB32" i="21" s="1"/>
  <c r="C303" i="21" s="1"/>
  <c r="AT29" i="21"/>
  <c r="AL29" i="21"/>
  <c r="B256" i="21" s="1"/>
  <c r="AF29" i="21"/>
  <c r="B214" i="21" s="1"/>
  <c r="Z29" i="21"/>
  <c r="B172" i="21" s="1"/>
  <c r="T29" i="21"/>
  <c r="B130" i="21" s="1"/>
  <c r="N29" i="21"/>
  <c r="B88" i="21" s="1"/>
  <c r="J29" i="21"/>
  <c r="AL28" i="21"/>
  <c r="B255" i="21" s="1"/>
  <c r="AF28" i="21"/>
  <c r="B213" i="21" s="1"/>
  <c r="Z28" i="21"/>
  <c r="B171" i="21" s="1"/>
  <c r="T28" i="21"/>
  <c r="B129" i="21" s="1"/>
  <c r="N28" i="21"/>
  <c r="B87" i="21" s="1"/>
  <c r="AL27" i="21"/>
  <c r="B254" i="21" s="1"/>
  <c r="AF27" i="21"/>
  <c r="B212" i="21" s="1"/>
  <c r="Z27" i="21"/>
  <c r="B170" i="21" s="1"/>
  <c r="T27" i="21"/>
  <c r="B128" i="21" s="1"/>
  <c r="N27" i="21"/>
  <c r="B86" i="21" s="1"/>
  <c r="H27" i="21"/>
  <c r="E27" i="21"/>
  <c r="BH26" i="21"/>
  <c r="BB26" i="21"/>
  <c r="AZ26" i="21"/>
  <c r="BB27" i="21" s="1"/>
  <c r="C302" i="21" s="1"/>
  <c r="AV26" i="21"/>
  <c r="AP26" i="21"/>
  <c r="AN26" i="21"/>
  <c r="AP30" i="21" s="1"/>
  <c r="C257" i="21" s="1"/>
  <c r="AJ26" i="21"/>
  <c r="AD26" i="21"/>
  <c r="AB26" i="21"/>
  <c r="AD30" i="21" s="1"/>
  <c r="C173" i="21" s="1"/>
  <c r="X26" i="21"/>
  <c r="R26" i="21"/>
  <c r="P26" i="21"/>
  <c r="R30" i="21" s="1"/>
  <c r="C89" i="21" s="1"/>
  <c r="L26" i="21"/>
  <c r="F32" i="21" s="1"/>
  <c r="G26" i="21"/>
  <c r="E26" i="21"/>
  <c r="BF25" i="21"/>
  <c r="AZ25" i="21"/>
  <c r="AT25" i="21"/>
  <c r="AN25" i="21"/>
  <c r="AH25" i="21"/>
  <c r="AB25" i="21"/>
  <c r="V25" i="21"/>
  <c r="P25" i="21"/>
  <c r="J25" i="21"/>
  <c r="G25" i="21"/>
  <c r="E28" i="21" s="1"/>
  <c r="BF24" i="21"/>
  <c r="BF26" i="21" s="1"/>
  <c r="AZ24" i="21"/>
  <c r="AT24" i="21"/>
  <c r="AT26" i="21" s="1"/>
  <c r="AN24" i="21"/>
  <c r="AH24" i="21"/>
  <c r="AH26" i="21" s="1"/>
  <c r="AB24" i="21"/>
  <c r="V24" i="21"/>
  <c r="V26" i="21" s="1"/>
  <c r="P24" i="21"/>
  <c r="J24" i="21"/>
  <c r="J26" i="21" s="1"/>
  <c r="G24" i="21"/>
  <c r="BE31" i="21" s="1"/>
  <c r="AL22" i="21"/>
  <c r="B253" i="21" s="1"/>
  <c r="AF22" i="21"/>
  <c r="B211" i="21" s="1"/>
  <c r="Z22" i="21"/>
  <c r="B169" i="21" s="1"/>
  <c r="T22" i="21"/>
  <c r="B127" i="21" s="1"/>
  <c r="N22" i="21"/>
  <c r="B85" i="21" s="1"/>
  <c r="H22" i="21"/>
  <c r="BH21" i="21"/>
  <c r="BB21" i="21"/>
  <c r="AV21" i="21"/>
  <c r="AT21" i="21"/>
  <c r="AV22" i="21" s="1"/>
  <c r="C287" i="21" s="1"/>
  <c r="AL21" i="21"/>
  <c r="B252" i="21" s="1"/>
  <c r="AF21" i="21"/>
  <c r="B210" i="21" s="1"/>
  <c r="Z21" i="21"/>
  <c r="B168" i="21" s="1"/>
  <c r="T21" i="21"/>
  <c r="B126" i="21" s="1"/>
  <c r="N21" i="21"/>
  <c r="B84" i="21" s="1"/>
  <c r="L21" i="21"/>
  <c r="G21" i="21"/>
  <c r="F21" i="21"/>
  <c r="BF20" i="21"/>
  <c r="AZ20" i="21"/>
  <c r="AT20" i="21"/>
  <c r="AL20" i="21"/>
  <c r="B251" i="21" s="1"/>
  <c r="AF20" i="21"/>
  <c r="B209" i="21" s="1"/>
  <c r="Z20" i="21"/>
  <c r="B167" i="21" s="1"/>
  <c r="T20" i="21"/>
  <c r="B125" i="21" s="1"/>
  <c r="N20" i="21"/>
  <c r="B83" i="21" s="1"/>
  <c r="J20" i="21"/>
  <c r="G20" i="21"/>
  <c r="F20" i="21"/>
  <c r="BF19" i="21"/>
  <c r="BF21" i="21" s="1"/>
  <c r="AZ19" i="21"/>
  <c r="AZ21" i="21" s="1"/>
  <c r="BB22" i="21" s="1"/>
  <c r="C301" i="21" s="1"/>
  <c r="AT19" i="21"/>
  <c r="AL19" i="21"/>
  <c r="B250" i="21" s="1"/>
  <c r="AF19" i="21"/>
  <c r="B208" i="21" s="1"/>
  <c r="Z19" i="21"/>
  <c r="B166" i="21" s="1"/>
  <c r="T19" i="21"/>
  <c r="B124" i="21" s="1"/>
  <c r="N19" i="21"/>
  <c r="B82" i="21" s="1"/>
  <c r="J19" i="21"/>
  <c r="J21" i="21" s="1"/>
  <c r="AL18" i="21"/>
  <c r="B249" i="21" s="1"/>
  <c r="AF18" i="21"/>
  <c r="B207" i="21" s="1"/>
  <c r="Z18" i="21"/>
  <c r="B165" i="21" s="1"/>
  <c r="T18" i="21"/>
  <c r="B123" i="21" s="1"/>
  <c r="N18" i="21"/>
  <c r="B81" i="21" s="1"/>
  <c r="AL17" i="21"/>
  <c r="B248" i="21" s="1"/>
  <c r="AF17" i="21"/>
  <c r="B206" i="21" s="1"/>
  <c r="Z17" i="21"/>
  <c r="B164" i="21" s="1"/>
  <c r="T17" i="21"/>
  <c r="B122" i="21" s="1"/>
  <c r="N17" i="21"/>
  <c r="B80" i="21" s="1"/>
  <c r="H17" i="21"/>
  <c r="E17" i="21"/>
  <c r="BH16" i="21"/>
  <c r="BB16" i="21"/>
  <c r="AZ16" i="21"/>
  <c r="AY16" i="21" s="1"/>
  <c r="AV16" i="21"/>
  <c r="AP16" i="21"/>
  <c r="AN16" i="21"/>
  <c r="AP22" i="21" s="1"/>
  <c r="C253" i="21" s="1"/>
  <c r="AJ16" i="21"/>
  <c r="AD16" i="21"/>
  <c r="AB16" i="21"/>
  <c r="AD22" i="21" s="1"/>
  <c r="C169" i="21" s="1"/>
  <c r="X16" i="21"/>
  <c r="R16" i="21"/>
  <c r="P16" i="21"/>
  <c r="R22" i="21" s="1"/>
  <c r="C85" i="21" s="1"/>
  <c r="L16" i="21"/>
  <c r="F22" i="21" s="1"/>
  <c r="G16" i="21"/>
  <c r="E16" i="21"/>
  <c r="BF15" i="21"/>
  <c r="AZ15" i="21"/>
  <c r="AT15" i="21"/>
  <c r="AN15" i="21"/>
  <c r="AH15" i="21"/>
  <c r="AB15" i="21"/>
  <c r="V15" i="21"/>
  <c r="P15" i="21"/>
  <c r="J15" i="21"/>
  <c r="G15" i="21"/>
  <c r="BF14" i="21"/>
  <c r="BF16" i="21" s="1"/>
  <c r="AZ14" i="21"/>
  <c r="AT14" i="21"/>
  <c r="AT16" i="21" s="1"/>
  <c r="AN14" i="21"/>
  <c r="AH14" i="21"/>
  <c r="AH16" i="21" s="1"/>
  <c r="AB14" i="21"/>
  <c r="V14" i="21"/>
  <c r="V16" i="21" s="1"/>
  <c r="P14" i="21"/>
  <c r="J14" i="21"/>
  <c r="J16" i="21" s="1"/>
  <c r="G14" i="21"/>
  <c r="AL12" i="21"/>
  <c r="B247" i="21" s="1"/>
  <c r="AF12" i="21"/>
  <c r="B205" i="21" s="1"/>
  <c r="Z12" i="21"/>
  <c r="B163" i="21" s="1"/>
  <c r="T12" i="21"/>
  <c r="B121" i="21" s="1"/>
  <c r="N12" i="21"/>
  <c r="B79" i="21" s="1"/>
  <c r="H12" i="21"/>
  <c r="B326" i="21" s="1"/>
  <c r="BH11" i="21"/>
  <c r="BB11" i="21"/>
  <c r="AV11" i="21"/>
  <c r="AW11" i="21" s="1"/>
  <c r="AL11" i="21"/>
  <c r="B246" i="21" s="1"/>
  <c r="AF11" i="21"/>
  <c r="B204" i="21" s="1"/>
  <c r="Z11" i="21"/>
  <c r="B162" i="21" s="1"/>
  <c r="T11" i="21"/>
  <c r="B120" i="21" s="1"/>
  <c r="N11" i="21"/>
  <c r="B78" i="21" s="1"/>
  <c r="L11" i="21"/>
  <c r="G11" i="21"/>
  <c r="F11" i="21"/>
  <c r="BF10" i="21"/>
  <c r="AZ10" i="21"/>
  <c r="AT10" i="21"/>
  <c r="AL10" i="21"/>
  <c r="B245" i="21" s="1"/>
  <c r="AF10" i="21"/>
  <c r="B203" i="21" s="1"/>
  <c r="Z10" i="21"/>
  <c r="B161" i="21" s="1"/>
  <c r="T10" i="21"/>
  <c r="B119" i="21" s="1"/>
  <c r="N10" i="21"/>
  <c r="B77" i="21" s="1"/>
  <c r="J10" i="21"/>
  <c r="G10" i="21"/>
  <c r="F10" i="21"/>
  <c r="BF9" i="21"/>
  <c r="BF11" i="21" s="1"/>
  <c r="AZ9" i="21"/>
  <c r="AZ11" i="21" s="1"/>
  <c r="BB12" i="21" s="1"/>
  <c r="C299" i="21" s="1"/>
  <c r="AT9" i="21"/>
  <c r="AT11" i="21" s="1"/>
  <c r="AL9" i="21"/>
  <c r="B244" i="21" s="1"/>
  <c r="AF9" i="21"/>
  <c r="B202" i="21" s="1"/>
  <c r="Z9" i="21"/>
  <c r="B160" i="21" s="1"/>
  <c r="T9" i="21"/>
  <c r="B118" i="21" s="1"/>
  <c r="N9" i="21"/>
  <c r="B76" i="21" s="1"/>
  <c r="J9" i="21"/>
  <c r="J11" i="21" s="1"/>
  <c r="AL8" i="21"/>
  <c r="B243" i="21" s="1"/>
  <c r="AF8" i="21"/>
  <c r="B201" i="21" s="1"/>
  <c r="Z8" i="21"/>
  <c r="B159" i="21" s="1"/>
  <c r="T8" i="21"/>
  <c r="B117" i="21" s="1"/>
  <c r="N8" i="21"/>
  <c r="B75" i="21" s="1"/>
  <c r="AL7" i="21"/>
  <c r="B242" i="21" s="1"/>
  <c r="AF7" i="21"/>
  <c r="B200" i="21" s="1"/>
  <c r="Z7" i="21"/>
  <c r="B158" i="21" s="1"/>
  <c r="T7" i="21"/>
  <c r="B116" i="21" s="1"/>
  <c r="N7" i="21"/>
  <c r="B74" i="21" s="1"/>
  <c r="H7" i="21"/>
  <c r="E7" i="21"/>
  <c r="BH6" i="21"/>
  <c r="BB6" i="21"/>
  <c r="AV6" i="21"/>
  <c r="AP6" i="21"/>
  <c r="AJ6" i="21"/>
  <c r="AD6" i="21"/>
  <c r="X6" i="21"/>
  <c r="R6" i="21"/>
  <c r="L6" i="21"/>
  <c r="F12" i="21" s="1"/>
  <c r="G6" i="21"/>
  <c r="E6" i="21"/>
  <c r="BF5" i="21"/>
  <c r="AZ5" i="21"/>
  <c r="AT5" i="21"/>
  <c r="AN5" i="21"/>
  <c r="AH5" i="21"/>
  <c r="AB5" i="21"/>
  <c r="V5" i="21"/>
  <c r="P5" i="21"/>
  <c r="J5" i="21"/>
  <c r="G5" i="21"/>
  <c r="BF4" i="21"/>
  <c r="BF6" i="21" s="1"/>
  <c r="AZ4" i="21"/>
  <c r="AZ6" i="21" s="1"/>
  <c r="AT4" i="21"/>
  <c r="AT6" i="21" s="1"/>
  <c r="AN4" i="21"/>
  <c r="AN6" i="21" s="1"/>
  <c r="AH4" i="21"/>
  <c r="AH6" i="21" s="1"/>
  <c r="AB4" i="21"/>
  <c r="AB6" i="21" s="1"/>
  <c r="V4" i="21"/>
  <c r="V6" i="21" s="1"/>
  <c r="P4" i="21"/>
  <c r="P6" i="21" s="1"/>
  <c r="J4" i="21"/>
  <c r="J6" i="21" s="1"/>
  <c r="G4" i="21"/>
  <c r="A3" i="21"/>
  <c r="A13" i="21" s="1"/>
  <c r="A23" i="21" s="1"/>
  <c r="A33" i="21" s="1"/>
  <c r="A43" i="21" s="1"/>
  <c r="A53" i="21" s="1"/>
  <c r="A63" i="21" s="1"/>
  <c r="CC72" i="2"/>
  <c r="CB72" i="2"/>
  <c r="BW72" i="2"/>
  <c r="BV72" i="2"/>
  <c r="BK72" i="2"/>
  <c r="BJ72" i="2"/>
  <c r="BH72" i="2"/>
  <c r="BK73" i="2" s="1"/>
  <c r="L72" i="2"/>
  <c r="M72" i="2" s="1"/>
  <c r="CC71" i="2"/>
  <c r="BZ71" i="2"/>
  <c r="BW71" i="2"/>
  <c r="BT71" i="2"/>
  <c r="BK71" i="2"/>
  <c r="BH71" i="2"/>
  <c r="M71" i="2"/>
  <c r="J71" i="2"/>
  <c r="CC70" i="2"/>
  <c r="BZ70" i="2"/>
  <c r="BZ72" i="2" s="1"/>
  <c r="BW70" i="2"/>
  <c r="BK70" i="2"/>
  <c r="BH70" i="2"/>
  <c r="M70" i="2"/>
  <c r="J70" i="2"/>
  <c r="J72" i="2" s="1"/>
  <c r="M73" i="2" s="1"/>
  <c r="CC67" i="2"/>
  <c r="CB67" i="2"/>
  <c r="BV67" i="2"/>
  <c r="BW67" i="2" s="1"/>
  <c r="BQ67" i="2"/>
  <c r="BP67" i="2"/>
  <c r="BJ67" i="2"/>
  <c r="BK67" i="2" s="1"/>
  <c r="BE67" i="2"/>
  <c r="BD67" i="2"/>
  <c r="AW67" i="2"/>
  <c r="AX67" i="2" s="1"/>
  <c r="AQ67" i="2"/>
  <c r="AJ67" i="2"/>
  <c r="AK67" i="2" s="1"/>
  <c r="AE67" i="2"/>
  <c r="AD67" i="2"/>
  <c r="X67" i="2"/>
  <c r="Y67" i="2" s="1"/>
  <c r="S67" i="2"/>
  <c r="R67" i="2"/>
  <c r="L67" i="2"/>
  <c r="M67" i="2" s="1"/>
  <c r="CC66" i="2"/>
  <c r="BZ66" i="2"/>
  <c r="BW66" i="2"/>
  <c r="BT66" i="2"/>
  <c r="BQ66" i="2"/>
  <c r="BN66" i="2"/>
  <c r="BK66" i="2"/>
  <c r="BH66" i="2"/>
  <c r="BE66" i="2"/>
  <c r="BB66" i="2"/>
  <c r="AX66" i="2"/>
  <c r="AU66" i="2"/>
  <c r="AR66" i="2"/>
  <c r="AO66" i="2"/>
  <c r="AK66" i="2"/>
  <c r="AH66" i="2"/>
  <c r="AE66" i="2"/>
  <c r="AB66" i="2"/>
  <c r="Y66" i="2"/>
  <c r="V66" i="2"/>
  <c r="S66" i="2"/>
  <c r="P66" i="2"/>
  <c r="M66" i="2"/>
  <c r="J66" i="2"/>
  <c r="E68" i="2" s="1"/>
  <c r="G66" i="2"/>
  <c r="AR67" i="2" s="1"/>
  <c r="CC65" i="2"/>
  <c r="BZ65" i="2"/>
  <c r="BZ67" i="2" s="1"/>
  <c r="BW65" i="2"/>
  <c r="BQ65" i="2"/>
  <c r="BK65" i="2"/>
  <c r="BH65" i="2"/>
  <c r="BH67" i="2" s="1"/>
  <c r="BE65" i="2"/>
  <c r="AX65" i="2"/>
  <c r="AU65" i="2"/>
  <c r="AU67" i="2" s="1"/>
  <c r="AR65" i="2"/>
  <c r="AO65" i="2"/>
  <c r="AO67" i="2" s="1"/>
  <c r="AK65" i="2"/>
  <c r="AH65" i="2"/>
  <c r="AH67" i="2" s="1"/>
  <c r="AE65" i="2"/>
  <c r="AB65" i="2"/>
  <c r="AB67" i="2" s="1"/>
  <c r="Y65" i="2"/>
  <c r="V65" i="2"/>
  <c r="V67" i="2" s="1"/>
  <c r="S65" i="2"/>
  <c r="P65" i="2"/>
  <c r="BT70" i="2" s="1"/>
  <c r="BT72" i="2" s="1"/>
  <c r="M65" i="2"/>
  <c r="J65" i="2"/>
  <c r="E67" i="2" s="1"/>
  <c r="G65" i="2"/>
  <c r="CB62" i="2"/>
  <c r="CC62" i="2" s="1"/>
  <c r="BW62" i="2"/>
  <c r="BV62" i="2"/>
  <c r="BJ62" i="2"/>
  <c r="BK62" i="2" s="1"/>
  <c r="L62" i="2"/>
  <c r="M62" i="2" s="1"/>
  <c r="CC61" i="2"/>
  <c r="BZ61" i="2"/>
  <c r="BZ62" i="2" s="1"/>
  <c r="BW61" i="2"/>
  <c r="BT61" i="2"/>
  <c r="BK61" i="2"/>
  <c r="BH61" i="2"/>
  <c r="BH62" i="2" s="1"/>
  <c r="M61" i="2"/>
  <c r="J61" i="2"/>
  <c r="CC60" i="2"/>
  <c r="BZ60" i="2"/>
  <c r="BK60" i="2"/>
  <c r="BH60" i="2"/>
  <c r="M60" i="2"/>
  <c r="J60" i="2"/>
  <c r="J62" i="2" s="1"/>
  <c r="CC57" i="2"/>
  <c r="CB57" i="2"/>
  <c r="BW57" i="2"/>
  <c r="BV57" i="2"/>
  <c r="BQ57" i="2"/>
  <c r="BP57" i="2"/>
  <c r="BK57" i="2"/>
  <c r="BJ57" i="2"/>
  <c r="BH57" i="2"/>
  <c r="BG57" i="2" s="1"/>
  <c r="BE57" i="2"/>
  <c r="BD57" i="2"/>
  <c r="AX57" i="2"/>
  <c r="AW57" i="2"/>
  <c r="AR57" i="2"/>
  <c r="AQ57" i="2"/>
  <c r="AK57" i="2"/>
  <c r="AJ57" i="2"/>
  <c r="AE57" i="2"/>
  <c r="AD57" i="2"/>
  <c r="Y57" i="2"/>
  <c r="X57" i="2"/>
  <c r="S57" i="2"/>
  <c r="R57" i="2"/>
  <c r="M57" i="2"/>
  <c r="L57" i="2"/>
  <c r="CC56" i="2"/>
  <c r="BZ56" i="2"/>
  <c r="BZ57" i="2" s="1"/>
  <c r="BW56" i="2"/>
  <c r="BT56" i="2"/>
  <c r="BQ56" i="2"/>
  <c r="BN56" i="2"/>
  <c r="BK56" i="2"/>
  <c r="BH56" i="2"/>
  <c r="BE56" i="2"/>
  <c r="BB56" i="2"/>
  <c r="AX56" i="2"/>
  <c r="AU56" i="2"/>
  <c r="AR56" i="2"/>
  <c r="AO56" i="2"/>
  <c r="BK55" i="2" s="1"/>
  <c r="AK56" i="2"/>
  <c r="AH56" i="2"/>
  <c r="AE56" i="2"/>
  <c r="AB56" i="2"/>
  <c r="AX55" i="2" s="1"/>
  <c r="Y56" i="2"/>
  <c r="V56" i="2"/>
  <c r="S56" i="2"/>
  <c r="P56" i="2"/>
  <c r="BW55" i="2" s="1"/>
  <c r="M56" i="2"/>
  <c r="J56" i="2"/>
  <c r="G56" i="2"/>
  <c r="CC55" i="2"/>
  <c r="BZ55" i="2"/>
  <c r="BN55" i="2"/>
  <c r="BN57" i="2" s="1"/>
  <c r="BH55" i="2"/>
  <c r="AU55" i="2"/>
  <c r="AU57" i="2" s="1"/>
  <c r="AR55" i="2"/>
  <c r="AO55" i="2"/>
  <c r="AK55" i="2"/>
  <c r="AH55" i="2"/>
  <c r="AH57" i="2" s="1"/>
  <c r="AE55" i="2"/>
  <c r="AB55" i="2"/>
  <c r="Y55" i="2"/>
  <c r="V55" i="2"/>
  <c r="V57" i="2" s="1"/>
  <c r="S55" i="2"/>
  <c r="P55" i="2"/>
  <c r="BT55" i="2" s="1"/>
  <c r="BT57" i="2" s="1"/>
  <c r="M55" i="2"/>
  <c r="J55" i="2"/>
  <c r="E57" i="2" s="1"/>
  <c r="G55" i="2"/>
  <c r="S53" i="2"/>
  <c r="M53" i="2"/>
  <c r="CC52" i="2"/>
  <c r="CB52" i="2"/>
  <c r="BW52" i="2"/>
  <c r="BV52" i="2"/>
  <c r="BK52" i="2"/>
  <c r="BJ52" i="2"/>
  <c r="S52" i="2"/>
  <c r="L52" i="2"/>
  <c r="I52" i="2"/>
  <c r="CC51" i="2"/>
  <c r="BZ51" i="2"/>
  <c r="BW51" i="2"/>
  <c r="BT51" i="2"/>
  <c r="BK51" i="2"/>
  <c r="BH51" i="2"/>
  <c r="S51" i="2"/>
  <c r="M51" i="2"/>
  <c r="J51" i="2"/>
  <c r="CC50" i="2"/>
  <c r="BZ50" i="2"/>
  <c r="BZ52" i="2" s="1"/>
  <c r="BW50" i="2"/>
  <c r="BK50" i="2"/>
  <c r="BH50" i="2"/>
  <c r="BH52" i="2" s="1"/>
  <c r="S50" i="2"/>
  <c r="M50" i="2"/>
  <c r="J50" i="2"/>
  <c r="J52" i="2" s="1"/>
  <c r="S49" i="2"/>
  <c r="CB47" i="2"/>
  <c r="CC47" i="2" s="1"/>
  <c r="BW47" i="2"/>
  <c r="BV47" i="2"/>
  <c r="BP47" i="2"/>
  <c r="BQ47" i="2" s="1"/>
  <c r="BK47" i="2"/>
  <c r="BJ47" i="2"/>
  <c r="BD47" i="2"/>
  <c r="BE47" i="2" s="1"/>
  <c r="AX47" i="2"/>
  <c r="AW47" i="2"/>
  <c r="AQ47" i="2"/>
  <c r="AR47" i="2" s="1"/>
  <c r="AJ47" i="2"/>
  <c r="AD47" i="2"/>
  <c r="AE47" i="2" s="1"/>
  <c r="X47" i="2"/>
  <c r="R47" i="2"/>
  <c r="P47" i="2"/>
  <c r="S48" i="2" s="1"/>
  <c r="L47" i="2"/>
  <c r="E49" i="2" s="1"/>
  <c r="CC46" i="2"/>
  <c r="BZ46" i="2"/>
  <c r="BW46" i="2"/>
  <c r="BT46" i="2"/>
  <c r="BQ46" i="2"/>
  <c r="BN46" i="2"/>
  <c r="BK46" i="2"/>
  <c r="BH46" i="2"/>
  <c r="BE46" i="2"/>
  <c r="BB46" i="2"/>
  <c r="AX46" i="2"/>
  <c r="AU46" i="2"/>
  <c r="AR46" i="2"/>
  <c r="AO46" i="2"/>
  <c r="AK46" i="2"/>
  <c r="AH46" i="2"/>
  <c r="AE46" i="2"/>
  <c r="AB46" i="2"/>
  <c r="Y46" i="2"/>
  <c r="V46" i="2"/>
  <c r="S46" i="2"/>
  <c r="P46" i="2"/>
  <c r="M46" i="2"/>
  <c r="J46" i="2"/>
  <c r="E48" i="2" s="1"/>
  <c r="G46" i="2"/>
  <c r="Y47" i="2" s="1"/>
  <c r="CC45" i="2"/>
  <c r="BZ45" i="2"/>
  <c r="BZ47" i="2" s="1"/>
  <c r="BW45" i="2"/>
  <c r="BT45" i="2"/>
  <c r="BT47" i="2" s="1"/>
  <c r="BQ45" i="2"/>
  <c r="BK45" i="2"/>
  <c r="BH45" i="2"/>
  <c r="BH47" i="2" s="1"/>
  <c r="BE45" i="2"/>
  <c r="AX45" i="2"/>
  <c r="AU45" i="2"/>
  <c r="AU47" i="2" s="1"/>
  <c r="AR45" i="2"/>
  <c r="AO45" i="2"/>
  <c r="AO47" i="2" s="1"/>
  <c r="AK45" i="2"/>
  <c r="AH45" i="2"/>
  <c r="AH47" i="2" s="1"/>
  <c r="AE45" i="2"/>
  <c r="AB45" i="2"/>
  <c r="AB47" i="2" s="1"/>
  <c r="Y45" i="2"/>
  <c r="V45" i="2"/>
  <c r="V47" i="2" s="1"/>
  <c r="S45" i="2"/>
  <c r="P45" i="2"/>
  <c r="BT50" i="2" s="1"/>
  <c r="BT52" i="2" s="1"/>
  <c r="M45" i="2"/>
  <c r="J45" i="2"/>
  <c r="J47" i="2" s="1"/>
  <c r="G45" i="2"/>
  <c r="CC42" i="2"/>
  <c r="CB42" i="2"/>
  <c r="BZ42" i="2"/>
  <c r="BY42" i="2" s="1"/>
  <c r="BW42" i="2"/>
  <c r="BV42" i="2"/>
  <c r="BK42" i="2"/>
  <c r="BJ42" i="2"/>
  <c r="BH42" i="2"/>
  <c r="BK43" i="2" s="1"/>
  <c r="L42" i="2"/>
  <c r="M42" i="2" s="1"/>
  <c r="CC41" i="2"/>
  <c r="BZ41" i="2"/>
  <c r="BW41" i="2"/>
  <c r="BT41" i="2"/>
  <c r="BK41" i="2"/>
  <c r="BH41" i="2"/>
  <c r="M41" i="2"/>
  <c r="J41" i="2"/>
  <c r="CC40" i="2"/>
  <c r="BZ40" i="2"/>
  <c r="BW40" i="2"/>
  <c r="BK40" i="2"/>
  <c r="BH40" i="2"/>
  <c r="M40" i="2"/>
  <c r="J40" i="2"/>
  <c r="J42" i="2" s="1"/>
  <c r="CC37" i="2"/>
  <c r="CB37" i="2"/>
  <c r="BW37" i="2"/>
  <c r="BV37" i="2"/>
  <c r="BQ37" i="2"/>
  <c r="BP37" i="2"/>
  <c r="BK37" i="2"/>
  <c r="BJ37" i="2"/>
  <c r="BE37" i="2"/>
  <c r="BD37" i="2"/>
  <c r="AX37" i="2"/>
  <c r="AW37" i="2"/>
  <c r="AR37" i="2"/>
  <c r="AQ37" i="2"/>
  <c r="AK37" i="2"/>
  <c r="AJ37" i="2"/>
  <c r="AE37" i="2"/>
  <c r="AD37" i="2"/>
  <c r="Y37" i="2"/>
  <c r="X37" i="2"/>
  <c r="S37" i="2"/>
  <c r="R37" i="2"/>
  <c r="M37" i="2"/>
  <c r="L37" i="2"/>
  <c r="CC36" i="2"/>
  <c r="BZ36" i="2"/>
  <c r="BW36" i="2"/>
  <c r="BT36" i="2"/>
  <c r="BQ36" i="2"/>
  <c r="BN36" i="2"/>
  <c r="BK36" i="2"/>
  <c r="BH36" i="2"/>
  <c r="BE36" i="2"/>
  <c r="BB36" i="2"/>
  <c r="AX36" i="2"/>
  <c r="AU36" i="2"/>
  <c r="AR36" i="2"/>
  <c r="AO36" i="2"/>
  <c r="AK36" i="2"/>
  <c r="AH36" i="2"/>
  <c r="AE36" i="2"/>
  <c r="AB36" i="2"/>
  <c r="Y36" i="2"/>
  <c r="V36" i="2"/>
  <c r="S36" i="2"/>
  <c r="P36" i="2"/>
  <c r="M36" i="2"/>
  <c r="J36" i="2"/>
  <c r="E38" i="2" s="1"/>
  <c r="G36" i="2"/>
  <c r="E39" i="2" s="1"/>
  <c r="CC35" i="2"/>
  <c r="BZ35" i="2"/>
  <c r="BZ37" i="2" s="1"/>
  <c r="BW35" i="2"/>
  <c r="BQ35" i="2"/>
  <c r="BK35" i="2"/>
  <c r="BH35" i="2"/>
  <c r="BH37" i="2" s="1"/>
  <c r="BE35" i="2"/>
  <c r="AX35" i="2"/>
  <c r="AU35" i="2"/>
  <c r="AU37" i="2" s="1"/>
  <c r="AR35" i="2"/>
  <c r="AO35" i="2"/>
  <c r="AO37" i="2" s="1"/>
  <c r="AK35" i="2"/>
  <c r="AH35" i="2"/>
  <c r="AH37" i="2" s="1"/>
  <c r="AE35" i="2"/>
  <c r="AB35" i="2"/>
  <c r="AB37" i="2" s="1"/>
  <c r="Y35" i="2"/>
  <c r="V35" i="2"/>
  <c r="V37" i="2" s="1"/>
  <c r="S35" i="2"/>
  <c r="P35" i="2"/>
  <c r="BN35" i="2" s="1"/>
  <c r="BN37" i="2" s="1"/>
  <c r="M35" i="2"/>
  <c r="J35" i="2"/>
  <c r="E37" i="2" s="1"/>
  <c r="G35" i="2"/>
  <c r="A34" i="2"/>
  <c r="A44" i="2" s="1"/>
  <c r="A54" i="2" s="1"/>
  <c r="A64" i="2" s="1"/>
  <c r="CC32" i="2"/>
  <c r="CB32" i="2"/>
  <c r="BW32" i="2"/>
  <c r="BV32" i="2"/>
  <c r="BK32" i="2"/>
  <c r="BJ32" i="2"/>
  <c r="L32" i="2"/>
  <c r="M32" i="2" s="1"/>
  <c r="CC31" i="2"/>
  <c r="BZ31" i="2"/>
  <c r="BZ32" i="2" s="1"/>
  <c r="BW31" i="2"/>
  <c r="BT31" i="2"/>
  <c r="BK31" i="2"/>
  <c r="BH31" i="2"/>
  <c r="BH32" i="2" s="1"/>
  <c r="M31" i="2"/>
  <c r="J31" i="2"/>
  <c r="CC30" i="2"/>
  <c r="BZ30" i="2"/>
  <c r="BW30" i="2"/>
  <c r="BK30" i="2"/>
  <c r="BH30" i="2"/>
  <c r="M30" i="2"/>
  <c r="J30" i="2"/>
  <c r="J32" i="2" s="1"/>
  <c r="CC27" i="2"/>
  <c r="CB27" i="2"/>
  <c r="BZ27" i="2"/>
  <c r="CC28" i="2" s="1"/>
  <c r="BW27" i="2"/>
  <c r="BV27" i="2"/>
  <c r="BQ27" i="2"/>
  <c r="BP27" i="2"/>
  <c r="BK27" i="2"/>
  <c r="BJ27" i="2"/>
  <c r="BE27" i="2"/>
  <c r="BD27" i="2"/>
  <c r="AX27" i="2"/>
  <c r="AW27" i="2"/>
  <c r="AQ27" i="2"/>
  <c r="AO27" i="2"/>
  <c r="AN27" i="2" s="1"/>
  <c r="AJ27" i="2"/>
  <c r="AD27" i="2"/>
  <c r="AB27" i="2"/>
  <c r="AE31" i="2" s="1"/>
  <c r="X27" i="2"/>
  <c r="R27" i="2"/>
  <c r="P27" i="2"/>
  <c r="O27" i="2" s="1"/>
  <c r="L27" i="2"/>
  <c r="CC26" i="2"/>
  <c r="BZ26" i="2"/>
  <c r="BW26" i="2"/>
  <c r="BT26" i="2"/>
  <c r="BQ26" i="2"/>
  <c r="BN26" i="2"/>
  <c r="BK26" i="2"/>
  <c r="BH26" i="2"/>
  <c r="BE26" i="2"/>
  <c r="BB26" i="2"/>
  <c r="AX26" i="2"/>
  <c r="AU26" i="2"/>
  <c r="AR26" i="2"/>
  <c r="AO26" i="2"/>
  <c r="AK26" i="2"/>
  <c r="AH26" i="2"/>
  <c r="AE26" i="2"/>
  <c r="AB26" i="2"/>
  <c r="Y26" i="2"/>
  <c r="V26" i="2"/>
  <c r="S26" i="2"/>
  <c r="P26" i="2"/>
  <c r="M26" i="2"/>
  <c r="J26" i="2"/>
  <c r="E28" i="2" s="1"/>
  <c r="G26" i="2"/>
  <c r="AR27" i="2" s="1"/>
  <c r="CC25" i="2"/>
  <c r="BZ25" i="2"/>
  <c r="BW25" i="2"/>
  <c r="BT25" i="2"/>
  <c r="BT27" i="2" s="1"/>
  <c r="BQ25" i="2"/>
  <c r="BK25" i="2"/>
  <c r="BH25" i="2"/>
  <c r="BH27" i="2" s="1"/>
  <c r="BE25" i="2"/>
  <c r="AX25" i="2"/>
  <c r="AU25" i="2"/>
  <c r="AU27" i="2" s="1"/>
  <c r="AR25" i="2"/>
  <c r="AO25" i="2"/>
  <c r="AK25" i="2"/>
  <c r="AH25" i="2"/>
  <c r="AH27" i="2" s="1"/>
  <c r="AE25" i="2"/>
  <c r="AB25" i="2"/>
  <c r="Y25" i="2"/>
  <c r="V25" i="2"/>
  <c r="V27" i="2" s="1"/>
  <c r="S25" i="2"/>
  <c r="P25" i="2"/>
  <c r="BT30" i="2" s="1"/>
  <c r="BT32" i="2" s="1"/>
  <c r="M25" i="2"/>
  <c r="J25" i="2"/>
  <c r="E27" i="2" s="1"/>
  <c r="G25" i="2"/>
  <c r="CB22" i="2"/>
  <c r="CC22" i="2" s="1"/>
  <c r="BV22" i="2"/>
  <c r="BW22" i="2" s="1"/>
  <c r="BJ22" i="2"/>
  <c r="BK22" i="2" s="1"/>
  <c r="M22" i="2"/>
  <c r="L22" i="2"/>
  <c r="CC21" i="2"/>
  <c r="BZ21" i="2"/>
  <c r="BW21" i="2"/>
  <c r="BT21" i="2"/>
  <c r="BK21" i="2"/>
  <c r="BH21" i="2"/>
  <c r="M21" i="2"/>
  <c r="J21" i="2"/>
  <c r="J22" i="2" s="1"/>
  <c r="CC20" i="2"/>
  <c r="BZ20" i="2"/>
  <c r="BZ22" i="2" s="1"/>
  <c r="BT20" i="2"/>
  <c r="BT22" i="2" s="1"/>
  <c r="BK20" i="2"/>
  <c r="BH20" i="2"/>
  <c r="BH22" i="2" s="1"/>
  <c r="M20" i="2"/>
  <c r="J20" i="2"/>
  <c r="CB17" i="2"/>
  <c r="CC17" i="2" s="1"/>
  <c r="BV17" i="2"/>
  <c r="BW17" i="2" s="1"/>
  <c r="BP17" i="2"/>
  <c r="BQ17" i="2" s="1"/>
  <c r="BJ17" i="2"/>
  <c r="BK17" i="2" s="1"/>
  <c r="BD17" i="2"/>
  <c r="BE17" i="2" s="1"/>
  <c r="AW17" i="2"/>
  <c r="AX17" i="2" s="1"/>
  <c r="AQ17" i="2"/>
  <c r="AR17" i="2" s="1"/>
  <c r="AJ17" i="2"/>
  <c r="AK17" i="2" s="1"/>
  <c r="AD17" i="2"/>
  <c r="AE17" i="2" s="1"/>
  <c r="X17" i="2"/>
  <c r="Y17" i="2" s="1"/>
  <c r="R17" i="2"/>
  <c r="S17" i="2" s="1"/>
  <c r="L17" i="2"/>
  <c r="E19" i="2" s="1"/>
  <c r="E17" i="2"/>
  <c r="CC16" i="2"/>
  <c r="BZ16" i="2"/>
  <c r="BW16" i="2"/>
  <c r="BT16" i="2"/>
  <c r="BQ16" i="2"/>
  <c r="BN16" i="2"/>
  <c r="BK16" i="2"/>
  <c r="BH16" i="2"/>
  <c r="BE16" i="2"/>
  <c r="BB16" i="2"/>
  <c r="AX16" i="2"/>
  <c r="AU16" i="2"/>
  <c r="AR16" i="2"/>
  <c r="AO16" i="2"/>
  <c r="AK16" i="2"/>
  <c r="AH16" i="2"/>
  <c r="AE16" i="2"/>
  <c r="AB16" i="2"/>
  <c r="Y16" i="2"/>
  <c r="V16" i="2"/>
  <c r="S16" i="2"/>
  <c r="P16" i="2"/>
  <c r="BW20" i="2" s="1"/>
  <c r="M16" i="2"/>
  <c r="J16" i="2"/>
  <c r="E18" i="2" s="1"/>
  <c r="G16" i="2"/>
  <c r="CC15" i="2"/>
  <c r="BZ15" i="2"/>
  <c r="BZ17" i="2" s="1"/>
  <c r="BW15" i="2"/>
  <c r="BT15" i="2"/>
  <c r="BT17" i="2" s="1"/>
  <c r="BQ15" i="2"/>
  <c r="BK15" i="2"/>
  <c r="BH15" i="2"/>
  <c r="BH17" i="2" s="1"/>
  <c r="BE15" i="2"/>
  <c r="AX15" i="2"/>
  <c r="AU15" i="2"/>
  <c r="AU17" i="2" s="1"/>
  <c r="AR15" i="2"/>
  <c r="AO15" i="2"/>
  <c r="AO17" i="2" s="1"/>
  <c r="AK15" i="2"/>
  <c r="AH15" i="2"/>
  <c r="AH17" i="2" s="1"/>
  <c r="AE15" i="2"/>
  <c r="AB15" i="2"/>
  <c r="AB17" i="2" s="1"/>
  <c r="Y15" i="2"/>
  <c r="V15" i="2"/>
  <c r="V17" i="2" s="1"/>
  <c r="S15" i="2"/>
  <c r="P15" i="2"/>
  <c r="P17" i="2" s="1"/>
  <c r="M15" i="2"/>
  <c r="J15" i="2"/>
  <c r="J17" i="2" s="1"/>
  <c r="G15" i="2"/>
  <c r="A14" i="2"/>
  <c r="CB12" i="2"/>
  <c r="CC12" i="2" s="1"/>
  <c r="BV12" i="2"/>
  <c r="BW12" i="2" s="1"/>
  <c r="BJ12" i="2"/>
  <c r="BK12" i="2" s="1"/>
  <c r="M12" i="2"/>
  <c r="L12" i="2"/>
  <c r="CC11" i="2"/>
  <c r="BZ11" i="2"/>
  <c r="BW11" i="2"/>
  <c r="BT11" i="2"/>
  <c r="BK11" i="2"/>
  <c r="BH11" i="2"/>
  <c r="M11" i="2"/>
  <c r="J11" i="2"/>
  <c r="J12" i="2" s="1"/>
  <c r="BZ10" i="2"/>
  <c r="BZ12" i="2" s="1"/>
  <c r="BT10" i="2"/>
  <c r="BT12" i="2" s="1"/>
  <c r="BH10" i="2"/>
  <c r="BH12" i="2" s="1"/>
  <c r="M10" i="2"/>
  <c r="J10" i="2"/>
  <c r="CB7" i="2"/>
  <c r="CC7" i="2" s="1"/>
  <c r="BV7" i="2"/>
  <c r="BW7" i="2" s="1"/>
  <c r="BP7" i="2"/>
  <c r="BQ7" i="2" s="1"/>
  <c r="BJ7" i="2"/>
  <c r="BK7" i="2" s="1"/>
  <c r="BD7" i="2"/>
  <c r="BE7" i="2" s="1"/>
  <c r="AW7" i="2"/>
  <c r="AX7" i="2" s="1"/>
  <c r="AQ7" i="2"/>
  <c r="AR7" i="2" s="1"/>
  <c r="AJ7" i="2"/>
  <c r="AK7" i="2" s="1"/>
  <c r="AD7" i="2"/>
  <c r="AE7" i="2" s="1"/>
  <c r="X7" i="2"/>
  <c r="Y7" i="2" s="1"/>
  <c r="R7" i="2"/>
  <c r="S7" i="2" s="1"/>
  <c r="L7" i="2"/>
  <c r="M7" i="2" s="1"/>
  <c r="E7" i="2"/>
  <c r="CC6" i="2"/>
  <c r="BZ6" i="2"/>
  <c r="BW6" i="2"/>
  <c r="BT6" i="2"/>
  <c r="BQ6" i="2"/>
  <c r="BN6" i="2"/>
  <c r="BK6" i="2"/>
  <c r="BH6" i="2"/>
  <c r="BE6" i="2"/>
  <c r="BB6" i="2"/>
  <c r="AX6" i="2"/>
  <c r="AU6" i="2"/>
  <c r="AR6" i="2"/>
  <c r="AO6" i="2"/>
  <c r="AK6" i="2"/>
  <c r="AH6" i="2"/>
  <c r="AE6" i="2"/>
  <c r="AB6" i="2"/>
  <c r="AX5" i="2" s="1"/>
  <c r="Y6" i="2"/>
  <c r="V6" i="2"/>
  <c r="S6" i="2"/>
  <c r="P6" i="2"/>
  <c r="CC10" i="2" s="1"/>
  <c r="M6" i="2"/>
  <c r="J6" i="2"/>
  <c r="G6" i="2"/>
  <c r="CC5" i="2"/>
  <c r="BQ5" i="2"/>
  <c r="BE5" i="2"/>
  <c r="AU5" i="2"/>
  <c r="AU7" i="2" s="1"/>
  <c r="AR5" i="2"/>
  <c r="AO5" i="2"/>
  <c r="AO7" i="2" s="1"/>
  <c r="AK5" i="2"/>
  <c r="AH5" i="2"/>
  <c r="AH7" i="2" s="1"/>
  <c r="AE5" i="2"/>
  <c r="AB5" i="2"/>
  <c r="AB7" i="2" s="1"/>
  <c r="Y5" i="2"/>
  <c r="V5" i="2"/>
  <c r="V7" i="2" s="1"/>
  <c r="S5" i="2"/>
  <c r="P5" i="2"/>
  <c r="BZ5" i="2" s="1"/>
  <c r="BZ7" i="2" s="1"/>
  <c r="M5" i="2"/>
  <c r="J5" i="2"/>
  <c r="J7" i="2" s="1"/>
  <c r="G5" i="2"/>
  <c r="A1" i="2"/>
  <c r="R44" i="27" l="1"/>
  <c r="R42" i="27"/>
  <c r="R21" i="23"/>
  <c r="R25" i="23"/>
  <c r="R23" i="23"/>
  <c r="R20" i="23"/>
  <c r="R22" i="23"/>
  <c r="X10" i="45"/>
  <c r="X9" i="45"/>
  <c r="X8" i="45"/>
  <c r="U6" i="45"/>
  <c r="X12" i="45"/>
  <c r="X11" i="45"/>
  <c r="X7" i="45"/>
  <c r="AJ10" i="45"/>
  <c r="AJ9" i="45"/>
  <c r="AJ8" i="45"/>
  <c r="AG6" i="45"/>
  <c r="AJ12" i="45"/>
  <c r="AJ11" i="45"/>
  <c r="AJ7" i="45"/>
  <c r="BE6" i="45"/>
  <c r="BH7" i="45"/>
  <c r="AS26" i="45"/>
  <c r="AV27" i="45"/>
  <c r="R12" i="45"/>
  <c r="R11" i="45"/>
  <c r="R7" i="45"/>
  <c r="O6" i="45"/>
  <c r="R10" i="45"/>
  <c r="R9" i="45"/>
  <c r="R8" i="45"/>
  <c r="AD12" i="45"/>
  <c r="AD11" i="45"/>
  <c r="AD7" i="45"/>
  <c r="AA6" i="45"/>
  <c r="AD10" i="45"/>
  <c r="AD9" i="45"/>
  <c r="AD8" i="45"/>
  <c r="AP12" i="45"/>
  <c r="AP11" i="45"/>
  <c r="AP7" i="45"/>
  <c r="AM6" i="45"/>
  <c r="AP10" i="45"/>
  <c r="AP9" i="45"/>
  <c r="AP8" i="45"/>
  <c r="AY6" i="45"/>
  <c r="BB7" i="45"/>
  <c r="G11" i="45"/>
  <c r="BE11" i="45"/>
  <c r="BH12" i="45"/>
  <c r="AJ21" i="45"/>
  <c r="AJ17" i="45"/>
  <c r="AG16" i="45"/>
  <c r="AJ18" i="45"/>
  <c r="AJ20" i="45"/>
  <c r="BB27" i="45"/>
  <c r="S6" i="45"/>
  <c r="BC6" i="45"/>
  <c r="I11" i="45"/>
  <c r="L12" i="45"/>
  <c r="BI11" i="45"/>
  <c r="V16" i="45"/>
  <c r="AJ19" i="45"/>
  <c r="M21" i="45"/>
  <c r="BI21" i="45"/>
  <c r="AJ22" i="45"/>
  <c r="I26" i="45"/>
  <c r="L27" i="45"/>
  <c r="AB26" i="45"/>
  <c r="AW26" i="45"/>
  <c r="AS36" i="45"/>
  <c r="AV37" i="45"/>
  <c r="AZ41" i="45"/>
  <c r="BB42" i="45" s="1"/>
  <c r="BH42" i="45"/>
  <c r="BE41" i="45"/>
  <c r="R50" i="45"/>
  <c r="R49" i="45"/>
  <c r="R48" i="45"/>
  <c r="R52" i="45"/>
  <c r="O46" i="45"/>
  <c r="R47" i="45"/>
  <c r="R51" i="45"/>
  <c r="BI51" i="45"/>
  <c r="BC51" i="45"/>
  <c r="BC50" i="45"/>
  <c r="BC49" i="45"/>
  <c r="BI44" i="45"/>
  <c r="AW44" i="45"/>
  <c r="BI50" i="45"/>
  <c r="M50" i="45"/>
  <c r="AK44" i="45"/>
  <c r="Y44" i="45"/>
  <c r="M44" i="45"/>
  <c r="BI46" i="45"/>
  <c r="BC46" i="45"/>
  <c r="AW46" i="45"/>
  <c r="AQ46" i="45"/>
  <c r="AK46" i="45"/>
  <c r="AE46" i="45"/>
  <c r="Y46" i="45"/>
  <c r="S46" i="45"/>
  <c r="M46" i="45"/>
  <c r="BC45" i="45"/>
  <c r="AQ45" i="45"/>
  <c r="AE45" i="45"/>
  <c r="S45" i="45"/>
  <c r="AW49" i="45"/>
  <c r="AW45" i="45"/>
  <c r="AQ44" i="45"/>
  <c r="BI49" i="45"/>
  <c r="BI45" i="45"/>
  <c r="M45" i="45"/>
  <c r="BC44" i="45"/>
  <c r="AW51" i="45"/>
  <c r="Y45" i="45"/>
  <c r="S44" i="45"/>
  <c r="I6" i="45"/>
  <c r="L7" i="45"/>
  <c r="I16" i="45"/>
  <c r="BE16" i="45"/>
  <c r="AJ30" i="45"/>
  <c r="AJ29" i="45"/>
  <c r="AJ28" i="45"/>
  <c r="AG26" i="45"/>
  <c r="AJ32" i="45"/>
  <c r="AJ27" i="45"/>
  <c r="BE26" i="45"/>
  <c r="BH27" i="45"/>
  <c r="AP32" i="45"/>
  <c r="AP31" i="45"/>
  <c r="AP27" i="45"/>
  <c r="AM26" i="45"/>
  <c r="AP29" i="45"/>
  <c r="AP30" i="45"/>
  <c r="AP28" i="45"/>
  <c r="X30" i="45"/>
  <c r="X29" i="45"/>
  <c r="X28" i="45"/>
  <c r="U26" i="45"/>
  <c r="X32" i="45"/>
  <c r="X27" i="45"/>
  <c r="X31" i="45"/>
  <c r="R40" i="45"/>
  <c r="R39" i="45"/>
  <c r="R38" i="45"/>
  <c r="R41" i="45"/>
  <c r="O36" i="45"/>
  <c r="R37" i="45"/>
  <c r="R42" i="45"/>
  <c r="AP40" i="45"/>
  <c r="AP39" i="45"/>
  <c r="AP38" i="45"/>
  <c r="AP42" i="45"/>
  <c r="AM36" i="45"/>
  <c r="AP41" i="45"/>
  <c r="AP37" i="45"/>
  <c r="F12" i="45"/>
  <c r="Y6" i="45"/>
  <c r="AK6" i="45"/>
  <c r="AW6" i="45"/>
  <c r="BI6" i="45"/>
  <c r="AV7" i="45"/>
  <c r="BC11" i="45"/>
  <c r="AT16" i="45"/>
  <c r="BI16" i="45"/>
  <c r="BC16" i="45"/>
  <c r="AW16" i="45"/>
  <c r="AQ16" i="45"/>
  <c r="AK16" i="45"/>
  <c r="AE16" i="45"/>
  <c r="Y16" i="45"/>
  <c r="S16" i="45"/>
  <c r="M16" i="45"/>
  <c r="BC15" i="45"/>
  <c r="AQ15" i="45"/>
  <c r="AE15" i="45"/>
  <c r="S15" i="45"/>
  <c r="BC20" i="45"/>
  <c r="BC19" i="45"/>
  <c r="BI14" i="45"/>
  <c r="AW14" i="45"/>
  <c r="AK14" i="45"/>
  <c r="Y14" i="45"/>
  <c r="M14" i="45"/>
  <c r="BI15" i="45"/>
  <c r="AW15" i="45"/>
  <c r="AK15" i="45"/>
  <c r="Y15" i="45"/>
  <c r="M15" i="45"/>
  <c r="M19" i="45"/>
  <c r="AV22" i="45"/>
  <c r="AS21" i="45"/>
  <c r="BI19" i="45"/>
  <c r="AW20" i="45"/>
  <c r="AW21" i="45"/>
  <c r="L22" i="45"/>
  <c r="P26" i="45"/>
  <c r="AJ31" i="45"/>
  <c r="BE31" i="45"/>
  <c r="BH32" i="45"/>
  <c r="AJ42" i="45"/>
  <c r="AJ41" i="45"/>
  <c r="AJ37" i="45"/>
  <c r="AJ39" i="45"/>
  <c r="X42" i="45"/>
  <c r="X41" i="45"/>
  <c r="X37" i="45"/>
  <c r="X39" i="45"/>
  <c r="U36" i="45"/>
  <c r="X40" i="45"/>
  <c r="X38" i="45"/>
  <c r="AJ38" i="45"/>
  <c r="I41" i="45"/>
  <c r="L42" i="45"/>
  <c r="AD50" i="45"/>
  <c r="AD49" i="45"/>
  <c r="AD48" i="45"/>
  <c r="AD51" i="45"/>
  <c r="AA46" i="45"/>
  <c r="AD52" i="45"/>
  <c r="AW50" i="45"/>
  <c r="I51" i="45"/>
  <c r="L52" i="45"/>
  <c r="AW61" i="45"/>
  <c r="BI60" i="45"/>
  <c r="AW60" i="45"/>
  <c r="M60" i="45"/>
  <c r="BI59" i="45"/>
  <c r="AW59" i="45"/>
  <c r="M59" i="45"/>
  <c r="BC54" i="45"/>
  <c r="AQ54" i="45"/>
  <c r="AE54" i="45"/>
  <c r="S54" i="45"/>
  <c r="M61" i="45"/>
  <c r="BC60" i="45"/>
  <c r="BC59" i="45"/>
  <c r="BI54" i="45"/>
  <c r="AW54" i="45"/>
  <c r="AK54" i="45"/>
  <c r="Y54" i="45"/>
  <c r="M54" i="45"/>
  <c r="BI55" i="45"/>
  <c r="AW55" i="45"/>
  <c r="AK55" i="45"/>
  <c r="Y55" i="45"/>
  <c r="M55" i="45"/>
  <c r="AE55" i="45"/>
  <c r="BI56" i="45"/>
  <c r="AW56" i="45"/>
  <c r="AK56" i="45"/>
  <c r="Y56" i="45"/>
  <c r="M56" i="45"/>
  <c r="AQ55" i="45"/>
  <c r="BC56" i="45"/>
  <c r="S56" i="45"/>
  <c r="AE56" i="45"/>
  <c r="S55" i="45"/>
  <c r="R70" i="45"/>
  <c r="R69" i="45"/>
  <c r="R68" i="45"/>
  <c r="R72" i="45"/>
  <c r="R71" i="45"/>
  <c r="R67" i="45"/>
  <c r="O66" i="45"/>
  <c r="AP70" i="45"/>
  <c r="AP69" i="45"/>
  <c r="AP68" i="45"/>
  <c r="AP72" i="45"/>
  <c r="AP71" i="45"/>
  <c r="AP67" i="45"/>
  <c r="AM66" i="45"/>
  <c r="BI71" i="45"/>
  <c r="BC71" i="45"/>
  <c r="BI66" i="45"/>
  <c r="BC66" i="45"/>
  <c r="AW66" i="45"/>
  <c r="AQ66" i="45"/>
  <c r="AK66" i="45"/>
  <c r="AE66" i="45"/>
  <c r="Y66" i="45"/>
  <c r="S66" i="45"/>
  <c r="M66" i="45"/>
  <c r="BC65" i="45"/>
  <c r="AQ65" i="45"/>
  <c r="AE65" i="45"/>
  <c r="S65" i="45"/>
  <c r="BC70" i="45"/>
  <c r="BC69" i="45"/>
  <c r="BI64" i="45"/>
  <c r="AW64" i="45"/>
  <c r="AK64" i="45"/>
  <c r="Y64" i="45"/>
  <c r="M64" i="45"/>
  <c r="BI65" i="45"/>
  <c r="AW65" i="45"/>
  <c r="AK65" i="45"/>
  <c r="Y65" i="45"/>
  <c r="M65" i="45"/>
  <c r="BI70" i="45"/>
  <c r="AW70" i="45"/>
  <c r="M70" i="45"/>
  <c r="BI69" i="45"/>
  <c r="AW69" i="45"/>
  <c r="M69" i="45"/>
  <c r="BC64" i="45"/>
  <c r="AQ64" i="45"/>
  <c r="AE64" i="45"/>
  <c r="S64" i="45"/>
  <c r="L47" i="45"/>
  <c r="I46" i="45"/>
  <c r="X52" i="45"/>
  <c r="X51" i="45"/>
  <c r="X47" i="45"/>
  <c r="X49" i="45"/>
  <c r="U46" i="45"/>
  <c r="X50" i="45"/>
  <c r="X48" i="45"/>
  <c r="AJ52" i="45"/>
  <c r="AJ51" i="45"/>
  <c r="AJ47" i="45"/>
  <c r="AG46" i="45"/>
  <c r="AJ49" i="45"/>
  <c r="BE46" i="45"/>
  <c r="BH47" i="45"/>
  <c r="AJ48" i="45"/>
  <c r="AJ50" i="45"/>
  <c r="I56" i="45"/>
  <c r="L57" i="45"/>
  <c r="AJ60" i="45"/>
  <c r="AJ59" i="45"/>
  <c r="AJ58" i="45"/>
  <c r="AG56" i="45"/>
  <c r="AJ62" i="45"/>
  <c r="AJ61" i="45"/>
  <c r="AJ57" i="45"/>
  <c r="BE56" i="45"/>
  <c r="BH57" i="45"/>
  <c r="L62" i="45"/>
  <c r="I61" i="45"/>
  <c r="BE61" i="45"/>
  <c r="BH62" i="45"/>
  <c r="X72" i="45"/>
  <c r="X71" i="45"/>
  <c r="X67" i="45"/>
  <c r="X70" i="45"/>
  <c r="X69" i="45"/>
  <c r="X68" i="45"/>
  <c r="U66" i="45"/>
  <c r="AV67" i="45"/>
  <c r="AS66" i="45"/>
  <c r="I71" i="45"/>
  <c r="L72" i="45"/>
  <c r="BH72" i="45"/>
  <c r="BE71" i="45"/>
  <c r="M71" i="45"/>
  <c r="M6" i="45"/>
  <c r="R18" i="45"/>
  <c r="AD18" i="45"/>
  <c r="AP18" i="45"/>
  <c r="R19" i="45"/>
  <c r="AD19" i="45"/>
  <c r="AP19" i="45"/>
  <c r="R20" i="45"/>
  <c r="AD20" i="45"/>
  <c r="AP20" i="45"/>
  <c r="J31" i="45"/>
  <c r="AD40" i="45"/>
  <c r="AD39" i="45"/>
  <c r="AD38" i="45"/>
  <c r="AD41" i="45"/>
  <c r="F42" i="45"/>
  <c r="M41" i="45" s="1"/>
  <c r="AV52" i="45"/>
  <c r="AS51" i="45"/>
  <c r="R62" i="45"/>
  <c r="R61" i="45"/>
  <c r="R57" i="45"/>
  <c r="O56" i="45"/>
  <c r="R60" i="45"/>
  <c r="R59" i="45"/>
  <c r="R58" i="45"/>
  <c r="AP62" i="45"/>
  <c r="AP61" i="45"/>
  <c r="AP57" i="45"/>
  <c r="AM56" i="45"/>
  <c r="AP60" i="45"/>
  <c r="AP59" i="45"/>
  <c r="AP58" i="45"/>
  <c r="E8" i="45"/>
  <c r="F32" i="45"/>
  <c r="BI31" i="45" s="1"/>
  <c r="E28" i="45"/>
  <c r="G41" i="45"/>
  <c r="AP50" i="45"/>
  <c r="AP49" i="45"/>
  <c r="AP48" i="45"/>
  <c r="AM46" i="45"/>
  <c r="AP51" i="45"/>
  <c r="BB47" i="45"/>
  <c r="AY46" i="45"/>
  <c r="AP47" i="45"/>
  <c r="G51" i="45"/>
  <c r="AP52" i="45"/>
  <c r="AZ51" i="45"/>
  <c r="BB52" i="45" s="1"/>
  <c r="M51" i="45"/>
  <c r="X60" i="45"/>
  <c r="X59" i="45"/>
  <c r="X58" i="45"/>
  <c r="U56" i="45"/>
  <c r="X62" i="45"/>
  <c r="X61" i="45"/>
  <c r="X57" i="45"/>
  <c r="AS56" i="45"/>
  <c r="AV57" i="45"/>
  <c r="AT61" i="45"/>
  <c r="BC61" i="45"/>
  <c r="AD70" i="45"/>
  <c r="AD69" i="45"/>
  <c r="AD68" i="45"/>
  <c r="AD72" i="45"/>
  <c r="AD71" i="45"/>
  <c r="AD67" i="45"/>
  <c r="AA66" i="45"/>
  <c r="BB67" i="45"/>
  <c r="AY66" i="45"/>
  <c r="AD62" i="45"/>
  <c r="AD61" i="45"/>
  <c r="AD57" i="45"/>
  <c r="AA56" i="45"/>
  <c r="AD60" i="45"/>
  <c r="AD59" i="45"/>
  <c r="AD58" i="45"/>
  <c r="AY56" i="45"/>
  <c r="BB57" i="45"/>
  <c r="BI61" i="45"/>
  <c r="L67" i="45"/>
  <c r="I66" i="45"/>
  <c r="AJ72" i="45"/>
  <c r="AJ71" i="45"/>
  <c r="AJ67" i="45"/>
  <c r="AJ70" i="45"/>
  <c r="AJ69" i="45"/>
  <c r="AJ68" i="45"/>
  <c r="AG66" i="45"/>
  <c r="BH67" i="45"/>
  <c r="BE66" i="45"/>
  <c r="AV72" i="45"/>
  <c r="AS71" i="45"/>
  <c r="AW71" i="45"/>
  <c r="E68" i="45"/>
  <c r="E58" i="45"/>
  <c r="V6" i="42"/>
  <c r="AH6" i="42"/>
  <c r="P6" i="42"/>
  <c r="G6" i="42"/>
  <c r="Q65" i="23"/>
  <c r="Q56" i="27"/>
  <c r="R9" i="27"/>
  <c r="R8" i="27"/>
  <c r="R7" i="27"/>
  <c r="Q62" i="23"/>
  <c r="Q61" i="23"/>
  <c r="Q60" i="23"/>
  <c r="Q59" i="23"/>
  <c r="Q58" i="23"/>
  <c r="R41" i="27"/>
  <c r="R12" i="27"/>
  <c r="R11" i="27"/>
  <c r="L7" i="42"/>
  <c r="I6" i="42"/>
  <c r="R12" i="42"/>
  <c r="R11" i="42"/>
  <c r="R10" i="42"/>
  <c r="R9" i="42"/>
  <c r="R8" i="42"/>
  <c r="R7" i="42"/>
  <c r="O6" i="42"/>
  <c r="X12" i="42"/>
  <c r="X11" i="42"/>
  <c r="X10" i="42"/>
  <c r="X9" i="42"/>
  <c r="X8" i="42"/>
  <c r="X7" i="42"/>
  <c r="U6" i="42"/>
  <c r="AD12" i="42"/>
  <c r="AD11" i="42"/>
  <c r="AD10" i="42"/>
  <c r="AD9" i="42"/>
  <c r="AD8" i="42"/>
  <c r="AD7" i="42"/>
  <c r="AA6" i="42"/>
  <c r="AJ12" i="42"/>
  <c r="AJ11" i="42"/>
  <c r="AJ10" i="42"/>
  <c r="AJ9" i="42"/>
  <c r="AJ8" i="42"/>
  <c r="AJ7" i="42"/>
  <c r="AG6" i="42"/>
  <c r="AP12" i="42"/>
  <c r="AP11" i="42"/>
  <c r="AP10" i="42"/>
  <c r="AP9" i="42"/>
  <c r="AP8" i="42"/>
  <c r="AP7" i="42"/>
  <c r="AM6" i="42"/>
  <c r="AV7" i="42"/>
  <c r="AS6" i="42"/>
  <c r="BB7" i="42"/>
  <c r="AY6" i="42"/>
  <c r="BH7" i="42"/>
  <c r="BE6" i="42"/>
  <c r="F12" i="42"/>
  <c r="M6" i="42" s="1"/>
  <c r="E8" i="42"/>
  <c r="Y6" i="42"/>
  <c r="AE6" i="42"/>
  <c r="AW6" i="42"/>
  <c r="BC6" i="42"/>
  <c r="L12" i="42"/>
  <c r="I11" i="42"/>
  <c r="AV12" i="42"/>
  <c r="AS11" i="42"/>
  <c r="BH12" i="42"/>
  <c r="BE11" i="42"/>
  <c r="G11" i="42"/>
  <c r="BC11" i="42"/>
  <c r="BI11" i="42"/>
  <c r="L17" i="42"/>
  <c r="I16" i="42"/>
  <c r="R22" i="42"/>
  <c r="R21" i="42"/>
  <c r="R20" i="42"/>
  <c r="R19" i="42"/>
  <c r="R18" i="42"/>
  <c r="R17" i="42"/>
  <c r="O16" i="42"/>
  <c r="X22" i="42"/>
  <c r="X21" i="42"/>
  <c r="X20" i="42"/>
  <c r="X19" i="42"/>
  <c r="X18" i="42"/>
  <c r="X17" i="42"/>
  <c r="U16" i="42"/>
  <c r="AD22" i="42"/>
  <c r="AD21" i="42"/>
  <c r="AD20" i="42"/>
  <c r="AD19" i="42"/>
  <c r="AD18" i="42"/>
  <c r="AD17" i="42"/>
  <c r="AA16" i="42"/>
  <c r="AJ22" i="42"/>
  <c r="AJ21" i="42"/>
  <c r="AJ20" i="42"/>
  <c r="AJ19" i="42"/>
  <c r="AJ18" i="42"/>
  <c r="AJ17" i="42"/>
  <c r="AG16" i="42"/>
  <c r="AP22" i="42"/>
  <c r="AP21" i="42"/>
  <c r="AP20" i="42"/>
  <c r="AP19" i="42"/>
  <c r="AP18" i="42"/>
  <c r="AP17" i="42"/>
  <c r="AM16" i="42"/>
  <c r="AV17" i="42"/>
  <c r="AS16" i="42"/>
  <c r="BB17" i="42"/>
  <c r="AY16" i="42"/>
  <c r="BH17" i="42"/>
  <c r="BE16" i="42"/>
  <c r="F22" i="42"/>
  <c r="E18" i="42"/>
  <c r="M16" i="42"/>
  <c r="S16" i="42"/>
  <c r="Y16" i="42"/>
  <c r="AE16" i="42"/>
  <c r="AK16" i="42"/>
  <c r="AQ16" i="42"/>
  <c r="AW16" i="42"/>
  <c r="BC16" i="42"/>
  <c r="BI16" i="42"/>
  <c r="L22" i="42"/>
  <c r="I21" i="42"/>
  <c r="AV22" i="42"/>
  <c r="AS21" i="42"/>
  <c r="BH22" i="42"/>
  <c r="BE21" i="42"/>
  <c r="G21" i="42"/>
  <c r="M21" i="42"/>
  <c r="AW21" i="42"/>
  <c r="BC21" i="42"/>
  <c r="BI21" i="42"/>
  <c r="L27" i="42"/>
  <c r="I26" i="42"/>
  <c r="R32" i="42"/>
  <c r="R31" i="42"/>
  <c r="R30" i="42"/>
  <c r="R29" i="42"/>
  <c r="R28" i="42"/>
  <c r="R27" i="42"/>
  <c r="O26" i="42"/>
  <c r="X32" i="42"/>
  <c r="X31" i="42"/>
  <c r="X30" i="42"/>
  <c r="X29" i="42"/>
  <c r="X28" i="42"/>
  <c r="X27" i="42"/>
  <c r="U26" i="42"/>
  <c r="AD32" i="42"/>
  <c r="AD31" i="42"/>
  <c r="AD30" i="42"/>
  <c r="AD29" i="42"/>
  <c r="AD28" i="42"/>
  <c r="AD27" i="42"/>
  <c r="AA26" i="42"/>
  <c r="AJ32" i="42"/>
  <c r="AJ31" i="42"/>
  <c r="AJ30" i="42"/>
  <c r="AJ29" i="42"/>
  <c r="AJ28" i="42"/>
  <c r="AJ27" i="42"/>
  <c r="AG26" i="42"/>
  <c r="AP32" i="42"/>
  <c r="AP31" i="42"/>
  <c r="AP30" i="42"/>
  <c r="AP29" i="42"/>
  <c r="AP28" i="42"/>
  <c r="AP27" i="42"/>
  <c r="AM26" i="42"/>
  <c r="AV27" i="42"/>
  <c r="AS26" i="42"/>
  <c r="BB27" i="42"/>
  <c r="AY26" i="42"/>
  <c r="BH27" i="42"/>
  <c r="BE26" i="42"/>
  <c r="F32" i="42"/>
  <c r="E28" i="42"/>
  <c r="M26" i="42"/>
  <c r="S26" i="42"/>
  <c r="Y26" i="42"/>
  <c r="AE26" i="42"/>
  <c r="AK26" i="42"/>
  <c r="AQ26" i="42"/>
  <c r="AW26" i="42"/>
  <c r="BC26" i="42"/>
  <c r="BI26" i="42"/>
  <c r="L32" i="42"/>
  <c r="I31" i="42"/>
  <c r="AV32" i="42"/>
  <c r="AS31" i="42"/>
  <c r="BH32" i="42"/>
  <c r="BE31" i="42"/>
  <c r="G31" i="42"/>
  <c r="M31" i="42"/>
  <c r="AW31" i="42"/>
  <c r="BC31" i="42"/>
  <c r="BI31" i="42"/>
  <c r="L37" i="42"/>
  <c r="I36" i="42"/>
  <c r="R42" i="42"/>
  <c r="R41" i="42"/>
  <c r="R40" i="42"/>
  <c r="R39" i="42"/>
  <c r="R38" i="42"/>
  <c r="R37" i="42"/>
  <c r="O36" i="42"/>
  <c r="X42" i="42"/>
  <c r="X41" i="42"/>
  <c r="X40" i="42"/>
  <c r="X39" i="42"/>
  <c r="X38" i="42"/>
  <c r="X37" i="42"/>
  <c r="U36" i="42"/>
  <c r="AD42" i="42"/>
  <c r="AD41" i="42"/>
  <c r="AD40" i="42"/>
  <c r="AD39" i="42"/>
  <c r="AD38" i="42"/>
  <c r="AD37" i="42"/>
  <c r="AA36" i="42"/>
  <c r="AJ42" i="42"/>
  <c r="AJ41" i="42"/>
  <c r="AJ40" i="42"/>
  <c r="AJ39" i="42"/>
  <c r="AJ38" i="42"/>
  <c r="AJ37" i="42"/>
  <c r="AG36" i="42"/>
  <c r="AP42" i="42"/>
  <c r="AP41" i="42"/>
  <c r="AP40" i="42"/>
  <c r="AP39" i="42"/>
  <c r="AP38" i="42"/>
  <c r="AP37" i="42"/>
  <c r="AM36" i="42"/>
  <c r="AV37" i="42"/>
  <c r="AS36" i="42"/>
  <c r="BB37" i="42"/>
  <c r="AY36" i="42"/>
  <c r="BH37" i="42"/>
  <c r="BE36" i="42"/>
  <c r="F42" i="42"/>
  <c r="E38" i="42"/>
  <c r="M36" i="42"/>
  <c r="S36" i="42"/>
  <c r="Y36" i="42"/>
  <c r="AE36" i="42"/>
  <c r="AK36" i="42"/>
  <c r="AQ36" i="42"/>
  <c r="AW36" i="42"/>
  <c r="BC36" i="42"/>
  <c r="BI36" i="42"/>
  <c r="L42" i="42"/>
  <c r="I41" i="42"/>
  <c r="AV42" i="42"/>
  <c r="AS41" i="42"/>
  <c r="BH42" i="42"/>
  <c r="BE41" i="42"/>
  <c r="G41" i="42"/>
  <c r="M41" i="42"/>
  <c r="AW41" i="42"/>
  <c r="BC41" i="42"/>
  <c r="BI41" i="42"/>
  <c r="L47" i="42"/>
  <c r="I46" i="42"/>
  <c r="R52" i="42"/>
  <c r="R51" i="42"/>
  <c r="R50" i="42"/>
  <c r="R49" i="42"/>
  <c r="R48" i="42"/>
  <c r="R47" i="42"/>
  <c r="O46" i="42"/>
  <c r="X52" i="42"/>
  <c r="X51" i="42"/>
  <c r="X50" i="42"/>
  <c r="X49" i="42"/>
  <c r="X48" i="42"/>
  <c r="X47" i="42"/>
  <c r="U46" i="42"/>
  <c r="AD52" i="42"/>
  <c r="AD51" i="42"/>
  <c r="AD50" i="42"/>
  <c r="AD49" i="42"/>
  <c r="AD48" i="42"/>
  <c r="AD47" i="42"/>
  <c r="AA46" i="42"/>
  <c r="AJ52" i="42"/>
  <c r="AJ51" i="42"/>
  <c r="AJ50" i="42"/>
  <c r="AJ49" i="42"/>
  <c r="AJ48" i="42"/>
  <c r="AJ47" i="42"/>
  <c r="AG46" i="42"/>
  <c r="AP52" i="42"/>
  <c r="AP51" i="42"/>
  <c r="AP50" i="42"/>
  <c r="AP49" i="42"/>
  <c r="AP48" i="42"/>
  <c r="AP47" i="42"/>
  <c r="AM46" i="42"/>
  <c r="AV47" i="42"/>
  <c r="AS46" i="42"/>
  <c r="BB47" i="42"/>
  <c r="AY46" i="42"/>
  <c r="BH47" i="42"/>
  <c r="BE46" i="42"/>
  <c r="F52" i="42"/>
  <c r="E48" i="42"/>
  <c r="M46" i="42"/>
  <c r="S46" i="42"/>
  <c r="Y46" i="42"/>
  <c r="AE46" i="42"/>
  <c r="AK46" i="42"/>
  <c r="AQ46" i="42"/>
  <c r="AW46" i="42"/>
  <c r="BC46" i="42"/>
  <c r="BI46" i="42"/>
  <c r="L52" i="42"/>
  <c r="I51" i="42"/>
  <c r="AV52" i="42"/>
  <c r="AS51" i="42"/>
  <c r="BH52" i="42"/>
  <c r="BE51" i="42"/>
  <c r="G51" i="42"/>
  <c r="M51" i="42"/>
  <c r="AW51" i="42"/>
  <c r="BC51" i="42"/>
  <c r="BI51" i="42"/>
  <c r="L57" i="42"/>
  <c r="I56" i="42"/>
  <c r="R62" i="42"/>
  <c r="R61" i="42"/>
  <c r="R60" i="42"/>
  <c r="R59" i="42"/>
  <c r="R58" i="42"/>
  <c r="R57" i="42"/>
  <c r="O56" i="42"/>
  <c r="X62" i="42"/>
  <c r="X61" i="42"/>
  <c r="X60" i="42"/>
  <c r="X59" i="42"/>
  <c r="X58" i="42"/>
  <c r="X57" i="42"/>
  <c r="U56" i="42"/>
  <c r="AD62" i="42"/>
  <c r="AD61" i="42"/>
  <c r="AD60" i="42"/>
  <c r="AD59" i="42"/>
  <c r="AD58" i="42"/>
  <c r="AD57" i="42"/>
  <c r="AA56" i="42"/>
  <c r="AJ62" i="42"/>
  <c r="AJ61" i="42"/>
  <c r="AJ60" i="42"/>
  <c r="AJ59" i="42"/>
  <c r="AJ58" i="42"/>
  <c r="AJ57" i="42"/>
  <c r="AG56" i="42"/>
  <c r="AP62" i="42"/>
  <c r="AP61" i="42"/>
  <c r="AP60" i="42"/>
  <c r="AP59" i="42"/>
  <c r="AP58" i="42"/>
  <c r="AP57" i="42"/>
  <c r="AM56" i="42"/>
  <c r="AV57" i="42"/>
  <c r="AS56" i="42"/>
  <c r="BB57" i="42"/>
  <c r="AY56" i="42"/>
  <c r="BH57" i="42"/>
  <c r="BE56" i="42"/>
  <c r="F62" i="42"/>
  <c r="E58" i="42"/>
  <c r="M56" i="42"/>
  <c r="S56" i="42"/>
  <c r="Y56" i="42"/>
  <c r="AE56" i="42"/>
  <c r="AK56" i="42"/>
  <c r="AQ56" i="42"/>
  <c r="AW56" i="42"/>
  <c r="BC56" i="42"/>
  <c r="BI56" i="42"/>
  <c r="L62" i="42"/>
  <c r="I61" i="42"/>
  <c r="AV62" i="42"/>
  <c r="AS61" i="42"/>
  <c r="BH62" i="42"/>
  <c r="BE61" i="42"/>
  <c r="G61" i="42"/>
  <c r="M61" i="42"/>
  <c r="AW61" i="42"/>
  <c r="BC61" i="42"/>
  <c r="BI61" i="42"/>
  <c r="L67" i="42"/>
  <c r="I66" i="42"/>
  <c r="R72" i="42"/>
  <c r="R71" i="42"/>
  <c r="R70" i="42"/>
  <c r="R69" i="42"/>
  <c r="R68" i="42"/>
  <c r="R67" i="42"/>
  <c r="O66" i="42"/>
  <c r="X72" i="42"/>
  <c r="X71" i="42"/>
  <c r="X70" i="42"/>
  <c r="X69" i="42"/>
  <c r="X68" i="42"/>
  <c r="X67" i="42"/>
  <c r="U66" i="42"/>
  <c r="AD72" i="42"/>
  <c r="AD71" i="42"/>
  <c r="AD70" i="42"/>
  <c r="AD69" i="42"/>
  <c r="AD68" i="42"/>
  <c r="AD67" i="42"/>
  <c r="AA66" i="42"/>
  <c r="AJ72" i="42"/>
  <c r="AJ71" i="42"/>
  <c r="AJ70" i="42"/>
  <c r="AJ69" i="42"/>
  <c r="AJ68" i="42"/>
  <c r="AJ67" i="42"/>
  <c r="AG66" i="42"/>
  <c r="AP72" i="42"/>
  <c r="AP71" i="42"/>
  <c r="AP70" i="42"/>
  <c r="AP69" i="42"/>
  <c r="AP68" i="42"/>
  <c r="AP67" i="42"/>
  <c r="AM66" i="42"/>
  <c r="AV67" i="42"/>
  <c r="AS66" i="42"/>
  <c r="BB67" i="42"/>
  <c r="AY66" i="42"/>
  <c r="BH67" i="42"/>
  <c r="BE66" i="42"/>
  <c r="F72" i="42"/>
  <c r="E68" i="42"/>
  <c r="M66" i="42"/>
  <c r="S66" i="42"/>
  <c r="Y66" i="42"/>
  <c r="AE66" i="42"/>
  <c r="AK66" i="42"/>
  <c r="AQ66" i="42"/>
  <c r="AW66" i="42"/>
  <c r="BC66" i="42"/>
  <c r="BI66" i="42"/>
  <c r="L72" i="42"/>
  <c r="I71" i="42"/>
  <c r="AV72" i="42"/>
  <c r="AS71" i="42"/>
  <c r="BH72" i="42"/>
  <c r="BE71" i="42"/>
  <c r="G71" i="42"/>
  <c r="M71" i="42"/>
  <c r="AW71" i="42"/>
  <c r="BC71" i="42"/>
  <c r="BI71" i="42"/>
  <c r="S61" i="28"/>
  <c r="S62" i="28"/>
  <c r="L7" i="39"/>
  <c r="I6" i="39"/>
  <c r="R12" i="39"/>
  <c r="C79" i="39" s="1"/>
  <c r="R11" i="39"/>
  <c r="C78" i="39" s="1"/>
  <c r="R10" i="39"/>
  <c r="C77" i="39" s="1"/>
  <c r="R9" i="39"/>
  <c r="C76" i="39" s="1"/>
  <c r="R8" i="39"/>
  <c r="C75" i="39" s="1"/>
  <c r="R7" i="39"/>
  <c r="C74" i="39" s="1"/>
  <c r="O6" i="39"/>
  <c r="X12" i="39"/>
  <c r="C121" i="39" s="1"/>
  <c r="X11" i="39"/>
  <c r="C120" i="39" s="1"/>
  <c r="X10" i="39"/>
  <c r="C119" i="39" s="1"/>
  <c r="X9" i="39"/>
  <c r="C118" i="39" s="1"/>
  <c r="X8" i="39"/>
  <c r="C117" i="39" s="1"/>
  <c r="X7" i="39"/>
  <c r="C116" i="39" s="1"/>
  <c r="U6" i="39"/>
  <c r="AD12" i="39"/>
  <c r="C163" i="39" s="1"/>
  <c r="AD11" i="39"/>
  <c r="C162" i="39" s="1"/>
  <c r="AD10" i="39"/>
  <c r="C161" i="39" s="1"/>
  <c r="AD9" i="39"/>
  <c r="C160" i="39" s="1"/>
  <c r="AD8" i="39"/>
  <c r="C159" i="39" s="1"/>
  <c r="AD7" i="39"/>
  <c r="C158" i="39" s="1"/>
  <c r="AA6" i="39"/>
  <c r="AJ12" i="39"/>
  <c r="C205" i="39" s="1"/>
  <c r="AJ11" i="39"/>
  <c r="C204" i="39" s="1"/>
  <c r="AJ10" i="39"/>
  <c r="C203" i="39" s="1"/>
  <c r="AJ9" i="39"/>
  <c r="C202" i="39" s="1"/>
  <c r="AJ8" i="39"/>
  <c r="C201" i="39" s="1"/>
  <c r="AJ7" i="39"/>
  <c r="C200" i="39" s="1"/>
  <c r="AG6" i="39"/>
  <c r="AP12" i="39"/>
  <c r="C247" i="39" s="1"/>
  <c r="AP11" i="39"/>
  <c r="C246" i="39" s="1"/>
  <c r="AP10" i="39"/>
  <c r="C245" i="39" s="1"/>
  <c r="AP9" i="39"/>
  <c r="C244" i="39" s="1"/>
  <c r="AP8" i="39"/>
  <c r="C243" i="39" s="1"/>
  <c r="AP7" i="39"/>
  <c r="C242" i="39" s="1"/>
  <c r="AM6" i="39"/>
  <c r="AV7" i="39"/>
  <c r="C284" i="39" s="1"/>
  <c r="AS6" i="39"/>
  <c r="BB7" i="39"/>
  <c r="C298" i="39" s="1"/>
  <c r="AY6" i="39"/>
  <c r="BH7" i="39"/>
  <c r="C312" i="39" s="1"/>
  <c r="BE6" i="39"/>
  <c r="F12" i="39"/>
  <c r="E8" i="39"/>
  <c r="M6" i="39"/>
  <c r="S6" i="39"/>
  <c r="Y6" i="39"/>
  <c r="AE6" i="39"/>
  <c r="AK6" i="39"/>
  <c r="AQ6" i="39"/>
  <c r="AW6" i="39"/>
  <c r="BC6" i="39"/>
  <c r="BI6" i="39"/>
  <c r="L12" i="39"/>
  <c r="I11" i="39"/>
  <c r="AV12" i="39"/>
  <c r="C285" i="39" s="1"/>
  <c r="AS11" i="39"/>
  <c r="BH12" i="39"/>
  <c r="C313" i="39" s="1"/>
  <c r="BE11" i="39"/>
  <c r="G11" i="39"/>
  <c r="M11" i="39"/>
  <c r="AW11" i="39"/>
  <c r="BC11" i="39"/>
  <c r="BI11" i="39"/>
  <c r="L17" i="39"/>
  <c r="I16" i="39"/>
  <c r="R22" i="39"/>
  <c r="C85" i="39" s="1"/>
  <c r="R21" i="39"/>
  <c r="C84" i="39" s="1"/>
  <c r="R20" i="39"/>
  <c r="C83" i="39" s="1"/>
  <c r="R19" i="39"/>
  <c r="C82" i="39" s="1"/>
  <c r="R18" i="39"/>
  <c r="C81" i="39" s="1"/>
  <c r="R17" i="39"/>
  <c r="C80" i="39" s="1"/>
  <c r="O16" i="39"/>
  <c r="X22" i="39"/>
  <c r="C127" i="39" s="1"/>
  <c r="X21" i="39"/>
  <c r="C126" i="39" s="1"/>
  <c r="X20" i="39"/>
  <c r="C125" i="39" s="1"/>
  <c r="X19" i="39"/>
  <c r="C124" i="39" s="1"/>
  <c r="X18" i="39"/>
  <c r="C123" i="39" s="1"/>
  <c r="X17" i="39"/>
  <c r="C122" i="39" s="1"/>
  <c r="U16" i="39"/>
  <c r="AD22" i="39"/>
  <c r="C169" i="39" s="1"/>
  <c r="AD21" i="39"/>
  <c r="C168" i="39" s="1"/>
  <c r="AD20" i="39"/>
  <c r="C167" i="39" s="1"/>
  <c r="AD19" i="39"/>
  <c r="C166" i="39" s="1"/>
  <c r="AD18" i="39"/>
  <c r="C165" i="39" s="1"/>
  <c r="AD17" i="39"/>
  <c r="C164" i="39" s="1"/>
  <c r="AA16" i="39"/>
  <c r="AJ22" i="39"/>
  <c r="C211" i="39" s="1"/>
  <c r="AJ21" i="39"/>
  <c r="C210" i="39" s="1"/>
  <c r="AJ20" i="39"/>
  <c r="C209" i="39" s="1"/>
  <c r="AJ19" i="39"/>
  <c r="C208" i="39" s="1"/>
  <c r="AJ18" i="39"/>
  <c r="C207" i="39" s="1"/>
  <c r="AJ17" i="39"/>
  <c r="C206" i="39" s="1"/>
  <c r="AG16" i="39"/>
  <c r="AP22" i="39"/>
  <c r="C253" i="39" s="1"/>
  <c r="AP21" i="39"/>
  <c r="C252" i="39" s="1"/>
  <c r="AP20" i="39"/>
  <c r="C251" i="39" s="1"/>
  <c r="AP19" i="39"/>
  <c r="C250" i="39" s="1"/>
  <c r="AP18" i="39"/>
  <c r="C249" i="39" s="1"/>
  <c r="AP17" i="39"/>
  <c r="C248" i="39" s="1"/>
  <c r="AM16" i="39"/>
  <c r="AV17" i="39"/>
  <c r="C286" i="39" s="1"/>
  <c r="AS16" i="39"/>
  <c r="BB17" i="39"/>
  <c r="C300" i="39" s="1"/>
  <c r="AY16" i="39"/>
  <c r="BH17" i="39"/>
  <c r="C314" i="39" s="1"/>
  <c r="BE16" i="39"/>
  <c r="F22" i="39"/>
  <c r="E18" i="39"/>
  <c r="M16" i="39"/>
  <c r="S16" i="39"/>
  <c r="Y16" i="39"/>
  <c r="AE16" i="39"/>
  <c r="AK16" i="39"/>
  <c r="AQ16" i="39"/>
  <c r="AW16" i="39"/>
  <c r="BC16" i="39"/>
  <c r="BI16" i="39"/>
  <c r="L22" i="39"/>
  <c r="I21" i="39"/>
  <c r="AV22" i="39"/>
  <c r="C287" i="39" s="1"/>
  <c r="AS21" i="39"/>
  <c r="BH22" i="39"/>
  <c r="C315" i="39" s="1"/>
  <c r="BE21" i="39"/>
  <c r="G21" i="39"/>
  <c r="M21" i="39"/>
  <c r="AW21" i="39"/>
  <c r="BC21" i="39"/>
  <c r="BI21" i="39"/>
  <c r="L27" i="39"/>
  <c r="I26" i="39"/>
  <c r="R32" i="39"/>
  <c r="C91" i="39" s="1"/>
  <c r="R31" i="39"/>
  <c r="C90" i="39" s="1"/>
  <c r="R30" i="39"/>
  <c r="C89" i="39" s="1"/>
  <c r="R29" i="39"/>
  <c r="C88" i="39" s="1"/>
  <c r="R28" i="39"/>
  <c r="C87" i="39" s="1"/>
  <c r="R27" i="39"/>
  <c r="C86" i="39" s="1"/>
  <c r="O26" i="39"/>
  <c r="X32" i="39"/>
  <c r="C133" i="39" s="1"/>
  <c r="X31" i="39"/>
  <c r="C132" i="39" s="1"/>
  <c r="X30" i="39"/>
  <c r="C131" i="39" s="1"/>
  <c r="X29" i="39"/>
  <c r="C130" i="39" s="1"/>
  <c r="X28" i="39"/>
  <c r="C129" i="39" s="1"/>
  <c r="X27" i="39"/>
  <c r="C128" i="39" s="1"/>
  <c r="U26" i="39"/>
  <c r="AD32" i="39"/>
  <c r="C175" i="39" s="1"/>
  <c r="AD31" i="39"/>
  <c r="C174" i="39" s="1"/>
  <c r="AD30" i="39"/>
  <c r="C173" i="39" s="1"/>
  <c r="AD29" i="39"/>
  <c r="C172" i="39" s="1"/>
  <c r="AD28" i="39"/>
  <c r="C171" i="39" s="1"/>
  <c r="AD27" i="39"/>
  <c r="C170" i="39" s="1"/>
  <c r="AA26" i="39"/>
  <c r="AJ32" i="39"/>
  <c r="C217" i="39" s="1"/>
  <c r="AJ31" i="39"/>
  <c r="C216" i="39" s="1"/>
  <c r="AJ30" i="39"/>
  <c r="C215" i="39" s="1"/>
  <c r="AJ29" i="39"/>
  <c r="C214" i="39" s="1"/>
  <c r="AJ28" i="39"/>
  <c r="C213" i="39" s="1"/>
  <c r="AJ27" i="39"/>
  <c r="C212" i="39" s="1"/>
  <c r="AG26" i="39"/>
  <c r="AP32" i="39"/>
  <c r="C259" i="39" s="1"/>
  <c r="AP31" i="39"/>
  <c r="C258" i="39" s="1"/>
  <c r="AP30" i="39"/>
  <c r="C257" i="39" s="1"/>
  <c r="AP29" i="39"/>
  <c r="C256" i="39" s="1"/>
  <c r="AP28" i="39"/>
  <c r="C255" i="39" s="1"/>
  <c r="AP27" i="39"/>
  <c r="C254" i="39" s="1"/>
  <c r="AM26" i="39"/>
  <c r="AV27" i="39"/>
  <c r="C288" i="39" s="1"/>
  <c r="AS26" i="39"/>
  <c r="BB27" i="39"/>
  <c r="C302" i="39" s="1"/>
  <c r="AY26" i="39"/>
  <c r="BH27" i="39"/>
  <c r="C316" i="39" s="1"/>
  <c r="BE26" i="39"/>
  <c r="F32" i="39"/>
  <c r="E28" i="39"/>
  <c r="M26" i="39"/>
  <c r="S26" i="39"/>
  <c r="Y26" i="39"/>
  <c r="AE26" i="39"/>
  <c r="AK26" i="39"/>
  <c r="AQ26" i="39"/>
  <c r="AW26" i="39"/>
  <c r="BC26" i="39"/>
  <c r="BI26" i="39"/>
  <c r="L32" i="39"/>
  <c r="I31" i="39"/>
  <c r="AV32" i="39"/>
  <c r="C289" i="39" s="1"/>
  <c r="AS31" i="39"/>
  <c r="BH32" i="39"/>
  <c r="C317" i="39" s="1"/>
  <c r="BE31" i="39"/>
  <c r="G31" i="39"/>
  <c r="M31" i="39"/>
  <c r="AW31" i="39"/>
  <c r="BC31" i="39"/>
  <c r="BI31" i="39"/>
  <c r="L37" i="39"/>
  <c r="I36" i="39"/>
  <c r="R42" i="39"/>
  <c r="C97" i="39" s="1"/>
  <c r="R41" i="39"/>
  <c r="C96" i="39" s="1"/>
  <c r="R40" i="39"/>
  <c r="C95" i="39" s="1"/>
  <c r="R39" i="39"/>
  <c r="C94" i="39" s="1"/>
  <c r="R38" i="39"/>
  <c r="C93" i="39" s="1"/>
  <c r="R37" i="39"/>
  <c r="C92" i="39" s="1"/>
  <c r="O36" i="39"/>
  <c r="X42" i="39"/>
  <c r="C139" i="39" s="1"/>
  <c r="X41" i="39"/>
  <c r="C138" i="39" s="1"/>
  <c r="X40" i="39"/>
  <c r="C137" i="39" s="1"/>
  <c r="X39" i="39"/>
  <c r="C136" i="39" s="1"/>
  <c r="X38" i="39"/>
  <c r="C135" i="39" s="1"/>
  <c r="X37" i="39"/>
  <c r="C134" i="39" s="1"/>
  <c r="U36" i="39"/>
  <c r="AD42" i="39"/>
  <c r="C181" i="39" s="1"/>
  <c r="AD41" i="39"/>
  <c r="C180" i="39" s="1"/>
  <c r="AD40" i="39"/>
  <c r="C179" i="39" s="1"/>
  <c r="AD39" i="39"/>
  <c r="C178" i="39" s="1"/>
  <c r="AD38" i="39"/>
  <c r="C177" i="39" s="1"/>
  <c r="AD37" i="39"/>
  <c r="C176" i="39" s="1"/>
  <c r="AA36" i="39"/>
  <c r="AJ42" i="39"/>
  <c r="C223" i="39" s="1"/>
  <c r="AJ41" i="39"/>
  <c r="C222" i="39" s="1"/>
  <c r="AJ40" i="39"/>
  <c r="C221" i="39" s="1"/>
  <c r="AJ39" i="39"/>
  <c r="C220" i="39" s="1"/>
  <c r="AJ38" i="39"/>
  <c r="C219" i="39" s="1"/>
  <c r="AJ37" i="39"/>
  <c r="C218" i="39" s="1"/>
  <c r="AG36" i="39"/>
  <c r="AP42" i="39"/>
  <c r="C265" i="39" s="1"/>
  <c r="AP41" i="39"/>
  <c r="C264" i="39" s="1"/>
  <c r="AP40" i="39"/>
  <c r="C263" i="39" s="1"/>
  <c r="AP39" i="39"/>
  <c r="C262" i="39" s="1"/>
  <c r="AP38" i="39"/>
  <c r="C261" i="39" s="1"/>
  <c r="AP37" i="39"/>
  <c r="C260" i="39" s="1"/>
  <c r="AM36" i="39"/>
  <c r="AV37" i="39"/>
  <c r="C290" i="39" s="1"/>
  <c r="AS36" i="39"/>
  <c r="BB37" i="39"/>
  <c r="C304" i="39" s="1"/>
  <c r="AY36" i="39"/>
  <c r="BH37" i="39"/>
  <c r="C318" i="39" s="1"/>
  <c r="BE36" i="39"/>
  <c r="F42" i="39"/>
  <c r="E38" i="39"/>
  <c r="M36" i="39"/>
  <c r="S36" i="39"/>
  <c r="Y36" i="39"/>
  <c r="AE36" i="39"/>
  <c r="AK36" i="39"/>
  <c r="AQ36" i="39"/>
  <c r="AW36" i="39"/>
  <c r="BC36" i="39"/>
  <c r="BI36" i="39"/>
  <c r="L42" i="39"/>
  <c r="I41" i="39"/>
  <c r="AV42" i="39"/>
  <c r="C291" i="39" s="1"/>
  <c r="AS41" i="39"/>
  <c r="BH42" i="39"/>
  <c r="C319" i="39" s="1"/>
  <c r="BE41" i="39"/>
  <c r="G41" i="39"/>
  <c r="M41" i="39"/>
  <c r="AW41" i="39"/>
  <c r="BC41" i="39"/>
  <c r="BI41" i="39"/>
  <c r="L47" i="39"/>
  <c r="I46" i="39"/>
  <c r="R52" i="39"/>
  <c r="C103" i="39" s="1"/>
  <c r="R51" i="39"/>
  <c r="C102" i="39" s="1"/>
  <c r="R50" i="39"/>
  <c r="C101" i="39" s="1"/>
  <c r="R49" i="39"/>
  <c r="C100" i="39" s="1"/>
  <c r="R48" i="39"/>
  <c r="C99" i="39" s="1"/>
  <c r="R47" i="39"/>
  <c r="C98" i="39" s="1"/>
  <c r="O46" i="39"/>
  <c r="X52" i="39"/>
  <c r="C145" i="39" s="1"/>
  <c r="X51" i="39"/>
  <c r="C144" i="39" s="1"/>
  <c r="X50" i="39"/>
  <c r="C143" i="39" s="1"/>
  <c r="X49" i="39"/>
  <c r="C142" i="39" s="1"/>
  <c r="X48" i="39"/>
  <c r="C141" i="39" s="1"/>
  <c r="X47" i="39"/>
  <c r="C140" i="39" s="1"/>
  <c r="U46" i="39"/>
  <c r="AD52" i="39"/>
  <c r="C187" i="39" s="1"/>
  <c r="AD51" i="39"/>
  <c r="C186" i="39" s="1"/>
  <c r="AD50" i="39"/>
  <c r="C185" i="39" s="1"/>
  <c r="AD49" i="39"/>
  <c r="C184" i="39" s="1"/>
  <c r="AD48" i="39"/>
  <c r="C183" i="39" s="1"/>
  <c r="AD47" i="39"/>
  <c r="C182" i="39" s="1"/>
  <c r="AA46" i="39"/>
  <c r="AJ52" i="39"/>
  <c r="C229" i="39" s="1"/>
  <c r="AJ51" i="39"/>
  <c r="C228" i="39" s="1"/>
  <c r="AJ50" i="39"/>
  <c r="C227" i="39" s="1"/>
  <c r="AJ49" i="39"/>
  <c r="C226" i="39" s="1"/>
  <c r="AJ48" i="39"/>
  <c r="C225" i="39" s="1"/>
  <c r="AJ47" i="39"/>
  <c r="C224" i="39" s="1"/>
  <c r="AG46" i="39"/>
  <c r="AP52" i="39"/>
  <c r="C271" i="39" s="1"/>
  <c r="AP51" i="39"/>
  <c r="C270" i="39" s="1"/>
  <c r="AP50" i="39"/>
  <c r="C269" i="39" s="1"/>
  <c r="AP49" i="39"/>
  <c r="C268" i="39" s="1"/>
  <c r="AP48" i="39"/>
  <c r="C267" i="39" s="1"/>
  <c r="AP47" i="39"/>
  <c r="C266" i="39" s="1"/>
  <c r="AM46" i="39"/>
  <c r="AV47" i="39"/>
  <c r="C292" i="39" s="1"/>
  <c r="AS46" i="39"/>
  <c r="BB47" i="39"/>
  <c r="C306" i="39" s="1"/>
  <c r="AY46" i="39"/>
  <c r="BH47" i="39"/>
  <c r="C320" i="39" s="1"/>
  <c r="BE46" i="39"/>
  <c r="F52" i="39"/>
  <c r="E48" i="39"/>
  <c r="M46" i="39"/>
  <c r="S46" i="39"/>
  <c r="Y46" i="39"/>
  <c r="AE46" i="39"/>
  <c r="AK46" i="39"/>
  <c r="AQ46" i="39"/>
  <c r="AW46" i="39"/>
  <c r="BC46" i="39"/>
  <c r="BI46" i="39"/>
  <c r="L52" i="39"/>
  <c r="I51" i="39"/>
  <c r="AV52" i="39"/>
  <c r="C293" i="39" s="1"/>
  <c r="AS51" i="39"/>
  <c r="BH52" i="39"/>
  <c r="C321" i="39" s="1"/>
  <c r="BE51" i="39"/>
  <c r="G51" i="39"/>
  <c r="M51" i="39"/>
  <c r="AW51" i="39"/>
  <c r="BC51" i="39"/>
  <c r="BI51" i="39"/>
  <c r="L57" i="39"/>
  <c r="I56" i="39"/>
  <c r="R62" i="39"/>
  <c r="C109" i="39" s="1"/>
  <c r="R61" i="39"/>
  <c r="C108" i="39" s="1"/>
  <c r="R60" i="39"/>
  <c r="C107" i="39" s="1"/>
  <c r="R59" i="39"/>
  <c r="C106" i="39" s="1"/>
  <c r="R58" i="39"/>
  <c r="C105" i="39" s="1"/>
  <c r="R57" i="39"/>
  <c r="C104" i="39" s="1"/>
  <c r="O56" i="39"/>
  <c r="X62" i="39"/>
  <c r="C151" i="39" s="1"/>
  <c r="X61" i="39"/>
  <c r="C150" i="39" s="1"/>
  <c r="X60" i="39"/>
  <c r="C149" i="39" s="1"/>
  <c r="X59" i="39"/>
  <c r="C148" i="39" s="1"/>
  <c r="X58" i="39"/>
  <c r="C147" i="39" s="1"/>
  <c r="X57" i="39"/>
  <c r="C146" i="39" s="1"/>
  <c r="U56" i="39"/>
  <c r="AD62" i="39"/>
  <c r="C193" i="39" s="1"/>
  <c r="AD61" i="39"/>
  <c r="C192" i="39" s="1"/>
  <c r="AD60" i="39"/>
  <c r="C191" i="39" s="1"/>
  <c r="AD59" i="39"/>
  <c r="C190" i="39" s="1"/>
  <c r="AD58" i="39"/>
  <c r="C189" i="39" s="1"/>
  <c r="AD57" i="39"/>
  <c r="C188" i="39" s="1"/>
  <c r="AA56" i="39"/>
  <c r="AJ62" i="39"/>
  <c r="C235" i="39" s="1"/>
  <c r="AJ61" i="39"/>
  <c r="C234" i="39" s="1"/>
  <c r="AJ60" i="39"/>
  <c r="C233" i="39" s="1"/>
  <c r="AJ59" i="39"/>
  <c r="C232" i="39" s="1"/>
  <c r="AJ58" i="39"/>
  <c r="C231" i="39" s="1"/>
  <c r="AJ57" i="39"/>
  <c r="C230" i="39" s="1"/>
  <c r="AG56" i="39"/>
  <c r="AP62" i="39"/>
  <c r="C277" i="39" s="1"/>
  <c r="AP61" i="39"/>
  <c r="C276" i="39" s="1"/>
  <c r="AP60" i="39"/>
  <c r="C275" i="39" s="1"/>
  <c r="AP59" i="39"/>
  <c r="C274" i="39" s="1"/>
  <c r="AP58" i="39"/>
  <c r="C273" i="39" s="1"/>
  <c r="AP57" i="39"/>
  <c r="C272" i="39" s="1"/>
  <c r="AM56" i="39"/>
  <c r="AV57" i="39"/>
  <c r="C294" i="39" s="1"/>
  <c r="AS56" i="39"/>
  <c r="BB57" i="39"/>
  <c r="C308" i="39" s="1"/>
  <c r="AY56" i="39"/>
  <c r="BH57" i="39"/>
  <c r="C322" i="39" s="1"/>
  <c r="BE56" i="39"/>
  <c r="F62" i="39"/>
  <c r="E58" i="39"/>
  <c r="M56" i="39"/>
  <c r="S56" i="39"/>
  <c r="Y56" i="39"/>
  <c r="AE56" i="39"/>
  <c r="AK56" i="39"/>
  <c r="AQ56" i="39"/>
  <c r="AW56" i="39"/>
  <c r="BC56" i="39"/>
  <c r="BI56" i="39"/>
  <c r="L62" i="39"/>
  <c r="I61" i="39"/>
  <c r="AV62" i="39"/>
  <c r="C295" i="39" s="1"/>
  <c r="AS61" i="39"/>
  <c r="BH62" i="39"/>
  <c r="C323" i="39" s="1"/>
  <c r="BE61" i="39"/>
  <c r="G61" i="39"/>
  <c r="M61" i="39"/>
  <c r="AW61" i="39"/>
  <c r="BC61" i="39"/>
  <c r="BI61" i="39"/>
  <c r="L67" i="39"/>
  <c r="I66" i="39"/>
  <c r="R72" i="39"/>
  <c r="C115" i="39" s="1"/>
  <c r="R71" i="39"/>
  <c r="C114" i="39" s="1"/>
  <c r="R70" i="39"/>
  <c r="C113" i="39" s="1"/>
  <c r="R69" i="39"/>
  <c r="C112" i="39" s="1"/>
  <c r="R68" i="39"/>
  <c r="C111" i="39" s="1"/>
  <c r="R67" i="39"/>
  <c r="C110" i="39" s="1"/>
  <c r="O66" i="39"/>
  <c r="X72" i="39"/>
  <c r="C157" i="39" s="1"/>
  <c r="X71" i="39"/>
  <c r="C156" i="39" s="1"/>
  <c r="X70" i="39"/>
  <c r="C155" i="39" s="1"/>
  <c r="X69" i="39"/>
  <c r="C154" i="39" s="1"/>
  <c r="X68" i="39"/>
  <c r="C153" i="39" s="1"/>
  <c r="X67" i="39"/>
  <c r="C152" i="39" s="1"/>
  <c r="U66" i="39"/>
  <c r="AD72" i="39"/>
  <c r="C199" i="39" s="1"/>
  <c r="AD71" i="39"/>
  <c r="C198" i="39" s="1"/>
  <c r="AD70" i="39"/>
  <c r="C197" i="39" s="1"/>
  <c r="AD69" i="39"/>
  <c r="C196" i="39" s="1"/>
  <c r="AD68" i="39"/>
  <c r="C195" i="39" s="1"/>
  <c r="AD67" i="39"/>
  <c r="C194" i="39" s="1"/>
  <c r="AA66" i="39"/>
  <c r="AJ72" i="39"/>
  <c r="C241" i="39" s="1"/>
  <c r="AJ71" i="39"/>
  <c r="C240" i="39" s="1"/>
  <c r="AJ70" i="39"/>
  <c r="C239" i="39" s="1"/>
  <c r="AJ69" i="39"/>
  <c r="C238" i="39" s="1"/>
  <c r="AJ68" i="39"/>
  <c r="C237" i="39" s="1"/>
  <c r="AJ67" i="39"/>
  <c r="C236" i="39" s="1"/>
  <c r="AG66" i="39"/>
  <c r="AP72" i="39"/>
  <c r="C283" i="39" s="1"/>
  <c r="AP71" i="39"/>
  <c r="C282" i="39" s="1"/>
  <c r="AP70" i="39"/>
  <c r="C281" i="39" s="1"/>
  <c r="AP69" i="39"/>
  <c r="C280" i="39" s="1"/>
  <c r="AP68" i="39"/>
  <c r="C279" i="39" s="1"/>
  <c r="AP67" i="39"/>
  <c r="C278" i="39" s="1"/>
  <c r="AM66" i="39"/>
  <c r="AV67" i="39"/>
  <c r="C296" i="39" s="1"/>
  <c r="AS66" i="39"/>
  <c r="BB67" i="39"/>
  <c r="C310" i="39" s="1"/>
  <c r="AY66" i="39"/>
  <c r="BH67" i="39"/>
  <c r="C324" i="39" s="1"/>
  <c r="BE66" i="39"/>
  <c r="F72" i="39"/>
  <c r="E68" i="39"/>
  <c r="M66" i="39"/>
  <c r="S66" i="39"/>
  <c r="Y66" i="39"/>
  <c r="AE66" i="39"/>
  <c r="AK66" i="39"/>
  <c r="AQ66" i="39"/>
  <c r="AW66" i="39"/>
  <c r="BC66" i="39"/>
  <c r="BI66" i="39"/>
  <c r="L72" i="39"/>
  <c r="I71" i="39"/>
  <c r="AV72" i="39"/>
  <c r="C297" i="39" s="1"/>
  <c r="AS71" i="39"/>
  <c r="BH72" i="39"/>
  <c r="C325" i="39" s="1"/>
  <c r="BE71" i="39"/>
  <c r="G71" i="39"/>
  <c r="M71" i="39"/>
  <c r="AW71" i="39"/>
  <c r="BC71" i="39"/>
  <c r="BI71" i="39"/>
  <c r="I7" i="2"/>
  <c r="M8" i="2"/>
  <c r="Y11" i="2"/>
  <c r="Y9" i="2"/>
  <c r="Y8" i="2"/>
  <c r="Y13" i="2"/>
  <c r="Y12" i="2"/>
  <c r="Y10" i="2"/>
  <c r="U7" i="2"/>
  <c r="AG7" i="2"/>
  <c r="AK13" i="2"/>
  <c r="AK12" i="2"/>
  <c r="AK10" i="2"/>
  <c r="AK11" i="2"/>
  <c r="AK9" i="2"/>
  <c r="AK8" i="2"/>
  <c r="AX11" i="2"/>
  <c r="AX9" i="2"/>
  <c r="AX8" i="2"/>
  <c r="AX10" i="2"/>
  <c r="AT7" i="2"/>
  <c r="AX13" i="2"/>
  <c r="AX12" i="2"/>
  <c r="BK13" i="2"/>
  <c r="BG12" i="2"/>
  <c r="S19" i="2"/>
  <c r="O17" i="2"/>
  <c r="S23" i="2"/>
  <c r="S22" i="2"/>
  <c r="S20" i="2"/>
  <c r="S21" i="2"/>
  <c r="S18" i="2"/>
  <c r="AE23" i="2"/>
  <c r="AE22" i="2"/>
  <c r="AE20" i="2"/>
  <c r="AE21" i="2"/>
  <c r="AE19" i="2"/>
  <c r="AE18" i="2"/>
  <c r="AA17" i="2"/>
  <c r="AR21" i="2"/>
  <c r="AR18" i="2"/>
  <c r="AN17" i="2"/>
  <c r="AR19" i="2"/>
  <c r="AR23" i="2"/>
  <c r="AR22" i="2"/>
  <c r="AR20" i="2"/>
  <c r="BS17" i="2"/>
  <c r="BV18" i="2"/>
  <c r="BK23" i="2"/>
  <c r="BG22" i="2"/>
  <c r="I32" i="2"/>
  <c r="M33" i="2"/>
  <c r="Y41" i="2"/>
  <c r="Y43" i="2"/>
  <c r="Y42" i="2"/>
  <c r="Y40" i="2"/>
  <c r="U37" i="2"/>
  <c r="Y39" i="2"/>
  <c r="Y38" i="2"/>
  <c r="AK43" i="2"/>
  <c r="AK42" i="2"/>
  <c r="AK40" i="2"/>
  <c r="AK41" i="2"/>
  <c r="AK39" i="2"/>
  <c r="AK38" i="2"/>
  <c r="AG37" i="2"/>
  <c r="AX41" i="2"/>
  <c r="AX39" i="2"/>
  <c r="AX38" i="2"/>
  <c r="AX43" i="2"/>
  <c r="AX42" i="2"/>
  <c r="AX40" i="2"/>
  <c r="AT37" i="2"/>
  <c r="Y61" i="2"/>
  <c r="U57" i="2"/>
  <c r="Y62" i="2"/>
  <c r="Y60" i="2"/>
  <c r="Y59" i="2"/>
  <c r="Y63" i="2"/>
  <c r="Y58" i="2"/>
  <c r="AK63" i="2"/>
  <c r="AK62" i="2"/>
  <c r="AK60" i="2"/>
  <c r="AK58" i="2"/>
  <c r="AG57" i="2"/>
  <c r="AK59" i="2"/>
  <c r="AK61" i="2"/>
  <c r="AT57" i="2"/>
  <c r="AX61" i="2"/>
  <c r="AX63" i="2"/>
  <c r="AX58" i="2"/>
  <c r="AX62" i="2"/>
  <c r="AX60" i="2"/>
  <c r="AX59" i="2"/>
  <c r="BY57" i="2"/>
  <c r="CC58" i="2"/>
  <c r="BV13" i="2"/>
  <c r="BS12" i="2"/>
  <c r="BK18" i="2"/>
  <c r="BG17" i="2"/>
  <c r="I22" i="2"/>
  <c r="M23" i="2"/>
  <c r="BV33" i="2"/>
  <c r="BS32" i="2"/>
  <c r="BS27" i="2"/>
  <c r="BV28" i="2"/>
  <c r="BK33" i="2"/>
  <c r="BG32" i="2"/>
  <c r="CC33" i="2"/>
  <c r="BY32" i="2"/>
  <c r="BS52" i="2"/>
  <c r="BV53" i="2"/>
  <c r="AE51" i="2"/>
  <c r="AE49" i="2"/>
  <c r="AE48" i="2"/>
  <c r="AA47" i="2"/>
  <c r="AE53" i="2"/>
  <c r="AE52" i="2"/>
  <c r="AE50" i="2"/>
  <c r="AN47" i="2"/>
  <c r="AR49" i="2"/>
  <c r="AR52" i="2"/>
  <c r="AR53" i="2"/>
  <c r="AR51" i="2"/>
  <c r="AR50" i="2"/>
  <c r="AR48" i="2"/>
  <c r="BS47" i="2"/>
  <c r="BV48" i="2"/>
  <c r="CC53" i="2"/>
  <c r="BY52" i="2"/>
  <c r="BV73" i="2"/>
  <c r="BS72" i="2"/>
  <c r="AE71" i="2"/>
  <c r="AE69" i="2"/>
  <c r="AE68" i="2"/>
  <c r="AA67" i="2"/>
  <c r="AE73" i="2"/>
  <c r="AE70" i="2"/>
  <c r="AE72" i="2"/>
  <c r="AN67" i="2"/>
  <c r="AR72" i="2"/>
  <c r="AR69" i="2"/>
  <c r="AR73" i="2"/>
  <c r="AR71" i="2"/>
  <c r="AR70" i="2"/>
  <c r="AR68" i="2"/>
  <c r="CC8" i="2"/>
  <c r="BY7" i="2"/>
  <c r="AE11" i="2"/>
  <c r="AE9" i="2"/>
  <c r="AE8" i="2"/>
  <c r="AA7" i="2"/>
  <c r="AE13" i="2"/>
  <c r="AE12" i="2"/>
  <c r="AE10" i="2"/>
  <c r="AR13" i="2"/>
  <c r="AR12" i="2"/>
  <c r="AR10" i="2"/>
  <c r="AR11" i="2"/>
  <c r="AR9" i="2"/>
  <c r="AR8" i="2"/>
  <c r="AN7" i="2"/>
  <c r="CC13" i="2"/>
  <c r="BY12" i="2"/>
  <c r="M18" i="2"/>
  <c r="I17" i="2"/>
  <c r="Y23" i="2"/>
  <c r="Y22" i="2"/>
  <c r="Y20" i="2"/>
  <c r="U17" i="2"/>
  <c r="Y21" i="2"/>
  <c r="Y19" i="2"/>
  <c r="Y18" i="2"/>
  <c r="AK21" i="2"/>
  <c r="AK19" i="2"/>
  <c r="AK18" i="2"/>
  <c r="AG17" i="2"/>
  <c r="AK23" i="2"/>
  <c r="AK22" i="2"/>
  <c r="AK20" i="2"/>
  <c r="AX23" i="2"/>
  <c r="AX22" i="2"/>
  <c r="AX20" i="2"/>
  <c r="AT17" i="2"/>
  <c r="AX21" i="2"/>
  <c r="AX19" i="2"/>
  <c r="AX18" i="2"/>
  <c r="CC18" i="2"/>
  <c r="BY17" i="2"/>
  <c r="BS22" i="2"/>
  <c r="BV23" i="2"/>
  <c r="BG27" i="2"/>
  <c r="BK28" i="2"/>
  <c r="BP38" i="2"/>
  <c r="BM37" i="2"/>
  <c r="AE43" i="2"/>
  <c r="AE42" i="2"/>
  <c r="AE40" i="2"/>
  <c r="AE41" i="2"/>
  <c r="AE39" i="2"/>
  <c r="AE38" i="2"/>
  <c r="AA37" i="2"/>
  <c r="AR41" i="2"/>
  <c r="AR39" i="2"/>
  <c r="AR38" i="2"/>
  <c r="AR40" i="2"/>
  <c r="AR43" i="2"/>
  <c r="AN37" i="2"/>
  <c r="AR42" i="2"/>
  <c r="M43" i="2"/>
  <c r="I42" i="2"/>
  <c r="BG47" i="2"/>
  <c r="BK48" i="2"/>
  <c r="BG52" i="2"/>
  <c r="BK53" i="2"/>
  <c r="BV58" i="2"/>
  <c r="BS57" i="2"/>
  <c r="BP58" i="2"/>
  <c r="BM57" i="2"/>
  <c r="BG67" i="2"/>
  <c r="BK68" i="2"/>
  <c r="CC68" i="2"/>
  <c r="BY67" i="2"/>
  <c r="I12" i="2"/>
  <c r="M13" i="2"/>
  <c r="BY22" i="2"/>
  <c r="CC23" i="2"/>
  <c r="Y33" i="2"/>
  <c r="Y32" i="2"/>
  <c r="Y30" i="2"/>
  <c r="U27" i="2"/>
  <c r="Y31" i="2"/>
  <c r="Y29" i="2"/>
  <c r="Y28" i="2"/>
  <c r="AG27" i="2"/>
  <c r="AK31" i="2"/>
  <c r="AK29" i="2"/>
  <c r="AK28" i="2"/>
  <c r="AK33" i="2"/>
  <c r="AK32" i="2"/>
  <c r="AK30" i="2"/>
  <c r="AX33" i="2"/>
  <c r="AX32" i="2"/>
  <c r="AX30" i="2"/>
  <c r="AT27" i="2"/>
  <c r="AX31" i="2"/>
  <c r="AX29" i="2"/>
  <c r="AX28" i="2"/>
  <c r="BK38" i="2"/>
  <c r="BG37" i="2"/>
  <c r="CC38" i="2"/>
  <c r="BY37" i="2"/>
  <c r="I47" i="2"/>
  <c r="M48" i="2"/>
  <c r="Y53" i="2"/>
  <c r="Y52" i="2"/>
  <c r="Y50" i="2"/>
  <c r="U47" i="2"/>
  <c r="Y51" i="2"/>
  <c r="Y48" i="2"/>
  <c r="Y49" i="2"/>
  <c r="AG47" i="2"/>
  <c r="AK52" i="2"/>
  <c r="AK49" i="2"/>
  <c r="AK53" i="2"/>
  <c r="AK51" i="2"/>
  <c r="AK50" i="2"/>
  <c r="AK48" i="2"/>
  <c r="AX53" i="2"/>
  <c r="AX52" i="2"/>
  <c r="AX50" i="2"/>
  <c r="AT47" i="2"/>
  <c r="AX51" i="2"/>
  <c r="AX48" i="2"/>
  <c r="AX49" i="2"/>
  <c r="CC48" i="2"/>
  <c r="BY47" i="2"/>
  <c r="M63" i="2"/>
  <c r="I62" i="2"/>
  <c r="BK63" i="2"/>
  <c r="BG62" i="2"/>
  <c r="BY62" i="2"/>
  <c r="CC63" i="2"/>
  <c r="Y73" i="2"/>
  <c r="Y72" i="2"/>
  <c r="Y70" i="2"/>
  <c r="U67" i="2"/>
  <c r="Y71" i="2"/>
  <c r="Y68" i="2"/>
  <c r="Y69" i="2"/>
  <c r="AG67" i="2"/>
  <c r="AK71" i="2"/>
  <c r="AK70" i="2"/>
  <c r="AK68" i="2"/>
  <c r="AK72" i="2"/>
  <c r="AK69" i="2"/>
  <c r="AK73" i="2"/>
  <c r="AX73" i="2"/>
  <c r="AX72" i="2"/>
  <c r="AX70" i="2"/>
  <c r="AT67" i="2"/>
  <c r="AX69" i="2"/>
  <c r="AX71" i="2"/>
  <c r="AX68" i="2"/>
  <c r="CC73" i="2"/>
  <c r="BY72" i="2"/>
  <c r="J27" i="2"/>
  <c r="E29" i="2"/>
  <c r="AE32" i="2"/>
  <c r="AE33" i="2"/>
  <c r="BB35" i="2"/>
  <c r="BB37" i="2" s="1"/>
  <c r="AK47" i="2"/>
  <c r="M52" i="2"/>
  <c r="P57" i="2"/>
  <c r="AO57" i="2"/>
  <c r="P67" i="2"/>
  <c r="BH5" i="2"/>
  <c r="BH7" i="2" s="1"/>
  <c r="BT5" i="2"/>
  <c r="BT7" i="2" s="1"/>
  <c r="P7" i="2"/>
  <c r="E9" i="2"/>
  <c r="BW10" i="2"/>
  <c r="BB15" i="2"/>
  <c r="BB17" i="2" s="1"/>
  <c r="BN15" i="2"/>
  <c r="BN17" i="2" s="1"/>
  <c r="M17" i="2"/>
  <c r="S28" i="2"/>
  <c r="AR28" i="2"/>
  <c r="S29" i="2"/>
  <c r="AR29" i="2"/>
  <c r="S31" i="2"/>
  <c r="AR31" i="2"/>
  <c r="BT40" i="2"/>
  <c r="BT42" i="2" s="1"/>
  <c r="CC43" i="2"/>
  <c r="E47" i="2"/>
  <c r="BB55" i="2"/>
  <c r="BB57" i="2" s="1"/>
  <c r="BQ55" i="2"/>
  <c r="E59" i="2"/>
  <c r="BT60" i="2"/>
  <c r="BT62" i="2" s="1"/>
  <c r="J67" i="2"/>
  <c r="I72" i="2"/>
  <c r="BG72" i="2"/>
  <c r="AE30" i="2"/>
  <c r="BN65" i="2"/>
  <c r="BN67" i="2" s="1"/>
  <c r="BK5" i="2"/>
  <c r="BW5" i="2"/>
  <c r="BB25" i="2"/>
  <c r="BB27" i="2" s="1"/>
  <c r="BN25" i="2"/>
  <c r="BN27" i="2" s="1"/>
  <c r="M27" i="2"/>
  <c r="S27" i="2"/>
  <c r="Y27" i="2"/>
  <c r="AE27" i="2"/>
  <c r="AK27" i="2"/>
  <c r="S30" i="2"/>
  <c r="AR30" i="2"/>
  <c r="S32" i="2"/>
  <c r="AR32" i="2"/>
  <c r="S33" i="2"/>
  <c r="AR33" i="2"/>
  <c r="BT35" i="2"/>
  <c r="BT37" i="2" s="1"/>
  <c r="J37" i="2"/>
  <c r="P37" i="2"/>
  <c r="BB45" i="2"/>
  <c r="BB47" i="2" s="1"/>
  <c r="BN45" i="2"/>
  <c r="BN47" i="2" s="1"/>
  <c r="M47" i="2"/>
  <c r="S47" i="2"/>
  <c r="BE55" i="2"/>
  <c r="BK58" i="2"/>
  <c r="BW60" i="2"/>
  <c r="BT65" i="2"/>
  <c r="BT67" i="2" s="1"/>
  <c r="E69" i="2"/>
  <c r="E8" i="2"/>
  <c r="J57" i="2"/>
  <c r="AB57" i="2"/>
  <c r="BB65" i="2"/>
  <c r="BB67" i="2" s="1"/>
  <c r="BB5" i="2"/>
  <c r="BB7" i="2" s="1"/>
  <c r="BN5" i="2"/>
  <c r="BN7" i="2" s="1"/>
  <c r="BK10" i="2"/>
  <c r="AA27" i="2"/>
  <c r="BY27" i="2"/>
  <c r="AE28" i="2"/>
  <c r="AE29" i="2"/>
  <c r="BG42" i="2"/>
  <c r="O47" i="2"/>
  <c r="E58" i="2"/>
  <c r="R12" i="21"/>
  <c r="C79" i="21" s="1"/>
  <c r="R11" i="21"/>
  <c r="C78" i="21" s="1"/>
  <c r="R7" i="21"/>
  <c r="C74" i="21" s="1"/>
  <c r="O6" i="21"/>
  <c r="R10" i="21"/>
  <c r="C77" i="21" s="1"/>
  <c r="R9" i="21"/>
  <c r="C76" i="21" s="1"/>
  <c r="R8" i="21"/>
  <c r="C75" i="21" s="1"/>
  <c r="AP12" i="21"/>
  <c r="C247" i="21" s="1"/>
  <c r="AP11" i="21"/>
  <c r="C246" i="21" s="1"/>
  <c r="AP7" i="21"/>
  <c r="C242" i="21" s="1"/>
  <c r="AM6" i="21"/>
  <c r="AP10" i="21"/>
  <c r="C245" i="21" s="1"/>
  <c r="AP9" i="21"/>
  <c r="C244" i="21" s="1"/>
  <c r="AP8" i="21"/>
  <c r="C243" i="21" s="1"/>
  <c r="BI5" i="21"/>
  <c r="AW5" i="21"/>
  <c r="AK5" i="21"/>
  <c r="Y5" i="21"/>
  <c r="M5" i="21"/>
  <c r="BI10" i="21"/>
  <c r="AW10" i="21"/>
  <c r="M10" i="21"/>
  <c r="BI9" i="21"/>
  <c r="AW9" i="21"/>
  <c r="M9" i="21"/>
  <c r="BC4" i="21"/>
  <c r="AQ4" i="21"/>
  <c r="AE4" i="21"/>
  <c r="S4" i="21"/>
  <c r="BI6" i="21"/>
  <c r="BC6" i="21"/>
  <c r="AW6" i="21"/>
  <c r="AQ6" i="21"/>
  <c r="AK6" i="21"/>
  <c r="AE6" i="21"/>
  <c r="Y6" i="21"/>
  <c r="S6" i="21"/>
  <c r="M6" i="21"/>
  <c r="BC5" i="21"/>
  <c r="AQ5" i="21"/>
  <c r="AE5" i="21"/>
  <c r="S5" i="21"/>
  <c r="M11" i="21"/>
  <c r="BC10" i="21"/>
  <c r="BC9" i="21"/>
  <c r="BI4" i="21"/>
  <c r="AW4" i="21"/>
  <c r="AK4" i="21"/>
  <c r="Y4" i="21"/>
  <c r="M4" i="21"/>
  <c r="BI20" i="21"/>
  <c r="AW20" i="21"/>
  <c r="M20" i="21"/>
  <c r="BI19" i="21"/>
  <c r="AW19" i="21"/>
  <c r="M19" i="21"/>
  <c r="BC14" i="21"/>
  <c r="AQ14" i="21"/>
  <c r="AE14" i="21"/>
  <c r="S14" i="21"/>
  <c r="BI16" i="21"/>
  <c r="BC16" i="21"/>
  <c r="AW16" i="21"/>
  <c r="AQ16" i="21"/>
  <c r="AK16" i="21"/>
  <c r="AE16" i="21"/>
  <c r="Y16" i="21"/>
  <c r="S16" i="21"/>
  <c r="M16" i="21"/>
  <c r="BC15" i="21"/>
  <c r="AQ15" i="21"/>
  <c r="AE15" i="21"/>
  <c r="S15" i="21"/>
  <c r="M21" i="21"/>
  <c r="BC20" i="21"/>
  <c r="BC19" i="21"/>
  <c r="BI14" i="21"/>
  <c r="AW14" i="21"/>
  <c r="AK14" i="21"/>
  <c r="Y14" i="21"/>
  <c r="M14" i="21"/>
  <c r="BI15" i="21"/>
  <c r="AW15" i="21"/>
  <c r="AK15" i="21"/>
  <c r="Y15" i="21"/>
  <c r="M15" i="21"/>
  <c r="BI21" i="21"/>
  <c r="L27" i="21"/>
  <c r="I26" i="21"/>
  <c r="AJ32" i="21"/>
  <c r="C217" i="21" s="1"/>
  <c r="AJ31" i="21"/>
  <c r="C216" i="21" s="1"/>
  <c r="AJ27" i="21"/>
  <c r="C212" i="21" s="1"/>
  <c r="AJ30" i="21"/>
  <c r="C215" i="21" s="1"/>
  <c r="AJ29" i="21"/>
  <c r="C214" i="21" s="1"/>
  <c r="AJ28" i="21"/>
  <c r="C213" i="21" s="1"/>
  <c r="AG26" i="21"/>
  <c r="BH27" i="21"/>
  <c r="C316" i="21" s="1"/>
  <c r="BE26" i="21"/>
  <c r="AD40" i="21"/>
  <c r="C179" i="21" s="1"/>
  <c r="AD39" i="21"/>
  <c r="C178" i="21" s="1"/>
  <c r="AD38" i="21"/>
  <c r="C177" i="21" s="1"/>
  <c r="AD42" i="21"/>
  <c r="C181" i="21" s="1"/>
  <c r="AD41" i="21"/>
  <c r="C180" i="21" s="1"/>
  <c r="AD37" i="21"/>
  <c r="C176" i="21" s="1"/>
  <c r="AA36" i="21"/>
  <c r="BB37" i="21"/>
  <c r="C304" i="21" s="1"/>
  <c r="AY36" i="21"/>
  <c r="R52" i="21"/>
  <c r="C103" i="21" s="1"/>
  <c r="R51" i="21"/>
  <c r="C102" i="21" s="1"/>
  <c r="R47" i="21"/>
  <c r="C98" i="21" s="1"/>
  <c r="O46" i="21"/>
  <c r="R49" i="21"/>
  <c r="C100" i="21" s="1"/>
  <c r="R50" i="21"/>
  <c r="C101" i="21" s="1"/>
  <c r="R48" i="21"/>
  <c r="C99" i="21" s="1"/>
  <c r="X10" i="21"/>
  <c r="C119" i="21" s="1"/>
  <c r="X9" i="21"/>
  <c r="C118" i="21" s="1"/>
  <c r="X8" i="21"/>
  <c r="C117" i="21" s="1"/>
  <c r="U6" i="21"/>
  <c r="X12" i="21"/>
  <c r="C121" i="21" s="1"/>
  <c r="X11" i="21"/>
  <c r="C120" i="21" s="1"/>
  <c r="X7" i="21"/>
  <c r="C116" i="21" s="1"/>
  <c r="AV7" i="21"/>
  <c r="C284" i="21" s="1"/>
  <c r="AS6" i="21"/>
  <c r="I11" i="21"/>
  <c r="L12" i="21"/>
  <c r="BE11" i="21"/>
  <c r="BH12" i="21"/>
  <c r="C313" i="21" s="1"/>
  <c r="X20" i="21"/>
  <c r="C125" i="21" s="1"/>
  <c r="X19" i="21"/>
  <c r="C124" i="21" s="1"/>
  <c r="X18" i="21"/>
  <c r="C123" i="21" s="1"/>
  <c r="U16" i="21"/>
  <c r="X22" i="21"/>
  <c r="C127" i="21" s="1"/>
  <c r="X21" i="21"/>
  <c r="C126" i="21" s="1"/>
  <c r="X17" i="21"/>
  <c r="C122" i="21" s="1"/>
  <c r="AS16" i="21"/>
  <c r="AV17" i="21"/>
  <c r="C286" i="21" s="1"/>
  <c r="I21" i="21"/>
  <c r="L22" i="21"/>
  <c r="BE21" i="21"/>
  <c r="BH22" i="21"/>
  <c r="C315" i="21" s="1"/>
  <c r="BI26" i="21"/>
  <c r="BC26" i="21"/>
  <c r="AW26" i="21"/>
  <c r="AQ26" i="21"/>
  <c r="AK26" i="21"/>
  <c r="AE26" i="21"/>
  <c r="Y26" i="21"/>
  <c r="S26" i="21"/>
  <c r="M26" i="21"/>
  <c r="BC25" i="21"/>
  <c r="AQ25" i="21"/>
  <c r="AE25" i="21"/>
  <c r="S25" i="21"/>
  <c r="BC30" i="21"/>
  <c r="BC29" i="21"/>
  <c r="BI24" i="21"/>
  <c r="AW24" i="21"/>
  <c r="AK24" i="21"/>
  <c r="Y24" i="21"/>
  <c r="M24" i="21"/>
  <c r="BI25" i="21"/>
  <c r="AW25" i="21"/>
  <c r="AK25" i="21"/>
  <c r="Y25" i="21"/>
  <c r="M25" i="21"/>
  <c r="AW31" i="21"/>
  <c r="BI30" i="21"/>
  <c r="AW30" i="21"/>
  <c r="M30" i="21"/>
  <c r="BI29" i="21"/>
  <c r="AW29" i="21"/>
  <c r="M29" i="21"/>
  <c r="BC24" i="21"/>
  <c r="AQ24" i="21"/>
  <c r="AE24" i="21"/>
  <c r="S24" i="21"/>
  <c r="BI31" i="21"/>
  <c r="L37" i="21"/>
  <c r="I36" i="21"/>
  <c r="AJ42" i="21"/>
  <c r="C223" i="21" s="1"/>
  <c r="AJ41" i="21"/>
  <c r="C222" i="21" s="1"/>
  <c r="AJ37" i="21"/>
  <c r="C218" i="21" s="1"/>
  <c r="AJ40" i="21"/>
  <c r="C221" i="21" s="1"/>
  <c r="AJ39" i="21"/>
  <c r="C220" i="21" s="1"/>
  <c r="AJ38" i="21"/>
  <c r="C219" i="21" s="1"/>
  <c r="AG36" i="21"/>
  <c r="BE36" i="21"/>
  <c r="BH37" i="21"/>
  <c r="C318" i="21" s="1"/>
  <c r="AV42" i="21"/>
  <c r="C291" i="21" s="1"/>
  <c r="AS41" i="21"/>
  <c r="X50" i="21"/>
  <c r="C143" i="21" s="1"/>
  <c r="X49" i="21"/>
  <c r="C142" i="21" s="1"/>
  <c r="X48" i="21"/>
  <c r="C141" i="21" s="1"/>
  <c r="U46" i="21"/>
  <c r="X52" i="21"/>
  <c r="C145" i="21" s="1"/>
  <c r="X47" i="21"/>
  <c r="C140" i="21" s="1"/>
  <c r="X51" i="21"/>
  <c r="C144" i="21" s="1"/>
  <c r="AS46" i="21"/>
  <c r="AV47" i="21"/>
  <c r="C292" i="21" s="1"/>
  <c r="AD12" i="21"/>
  <c r="C163" i="21" s="1"/>
  <c r="AD11" i="21"/>
  <c r="C162" i="21" s="1"/>
  <c r="AD7" i="21"/>
  <c r="C158" i="21" s="1"/>
  <c r="AA6" i="21"/>
  <c r="AD10" i="21"/>
  <c r="C161" i="21" s="1"/>
  <c r="AD9" i="21"/>
  <c r="C160" i="21" s="1"/>
  <c r="AD8" i="21"/>
  <c r="C159" i="21" s="1"/>
  <c r="AY6" i="21"/>
  <c r="BB7" i="21"/>
  <c r="C298" i="21" s="1"/>
  <c r="BC11" i="21"/>
  <c r="AW21" i="21"/>
  <c r="X32" i="21"/>
  <c r="C133" i="21" s="1"/>
  <c r="X31" i="21"/>
  <c r="C132" i="21" s="1"/>
  <c r="X27" i="21"/>
  <c r="C128" i="21" s="1"/>
  <c r="X30" i="21"/>
  <c r="C131" i="21" s="1"/>
  <c r="X29" i="21"/>
  <c r="C130" i="21" s="1"/>
  <c r="X28" i="21"/>
  <c r="C129" i="21" s="1"/>
  <c r="U26" i="21"/>
  <c r="AV27" i="21"/>
  <c r="C288" i="21" s="1"/>
  <c r="AS26" i="21"/>
  <c r="R40" i="21"/>
  <c r="C95" i="21" s="1"/>
  <c r="R39" i="21"/>
  <c r="C94" i="21" s="1"/>
  <c r="R38" i="21"/>
  <c r="C93" i="21" s="1"/>
  <c r="R42" i="21"/>
  <c r="C97" i="21" s="1"/>
  <c r="R41" i="21"/>
  <c r="C96" i="21" s="1"/>
  <c r="R37" i="21"/>
  <c r="C92" i="21" s="1"/>
  <c r="O36" i="21"/>
  <c r="AP40" i="21"/>
  <c r="C263" i="21" s="1"/>
  <c r="AP39" i="21"/>
  <c r="C262" i="21" s="1"/>
  <c r="AP38" i="21"/>
  <c r="C261" i="21" s="1"/>
  <c r="AP42" i="21"/>
  <c r="C265" i="21" s="1"/>
  <c r="AP41" i="21"/>
  <c r="C264" i="21" s="1"/>
  <c r="AP37" i="21"/>
  <c r="C260" i="21" s="1"/>
  <c r="AM36" i="21"/>
  <c r="BC40" i="21"/>
  <c r="BC39" i="21"/>
  <c r="BI34" i="21"/>
  <c r="AW34" i="21"/>
  <c r="AK34" i="21"/>
  <c r="Y34" i="21"/>
  <c r="M34" i="21"/>
  <c r="BI35" i="21"/>
  <c r="AW35" i="21"/>
  <c r="AK35" i="21"/>
  <c r="Y35" i="21"/>
  <c r="M35" i="21"/>
  <c r="AW41" i="21"/>
  <c r="BI40" i="21"/>
  <c r="AW40" i="21"/>
  <c r="M40" i="21"/>
  <c r="BI39" i="21"/>
  <c r="AW39" i="21"/>
  <c r="M39" i="21"/>
  <c r="BC34" i="21"/>
  <c r="AQ34" i="21"/>
  <c r="AE34" i="21"/>
  <c r="S34" i="21"/>
  <c r="BI41" i="21"/>
  <c r="BC41" i="21"/>
  <c r="BI36" i="21"/>
  <c r="BC36" i="21"/>
  <c r="AW36" i="21"/>
  <c r="AQ36" i="21"/>
  <c r="AK36" i="21"/>
  <c r="AE36" i="21"/>
  <c r="Y36" i="21"/>
  <c r="S36" i="21"/>
  <c r="M36" i="21"/>
  <c r="BC35" i="21"/>
  <c r="AQ35" i="21"/>
  <c r="AE35" i="21"/>
  <c r="S35" i="21"/>
  <c r="AD52" i="21"/>
  <c r="C187" i="21" s="1"/>
  <c r="AD51" i="21"/>
  <c r="C186" i="21" s="1"/>
  <c r="AD47" i="21"/>
  <c r="C182" i="21" s="1"/>
  <c r="AA46" i="21"/>
  <c r="AD49" i="21"/>
  <c r="C184" i="21" s="1"/>
  <c r="AD50" i="21"/>
  <c r="C185" i="21" s="1"/>
  <c r="AD48" i="21"/>
  <c r="C183" i="21" s="1"/>
  <c r="AY46" i="21"/>
  <c r="BB47" i="21"/>
  <c r="C306" i="21" s="1"/>
  <c r="S46" i="21"/>
  <c r="AV52" i="21"/>
  <c r="C293" i="21" s="1"/>
  <c r="AS51" i="21"/>
  <c r="BI51" i="21"/>
  <c r="I6" i="21"/>
  <c r="L7" i="21"/>
  <c r="AJ10" i="21"/>
  <c r="C203" i="21" s="1"/>
  <c r="AJ9" i="21"/>
  <c r="C202" i="21" s="1"/>
  <c r="AJ8" i="21"/>
  <c r="C201" i="21" s="1"/>
  <c r="AG6" i="21"/>
  <c r="AJ12" i="21"/>
  <c r="C205" i="21" s="1"/>
  <c r="AJ11" i="21"/>
  <c r="C204" i="21" s="1"/>
  <c r="AJ7" i="21"/>
  <c r="C200" i="21" s="1"/>
  <c r="BE6" i="21"/>
  <c r="BH7" i="21"/>
  <c r="C312" i="21" s="1"/>
  <c r="AV12" i="21"/>
  <c r="C285" i="21" s="1"/>
  <c r="AS11" i="21"/>
  <c r="BI11" i="21"/>
  <c r="I16" i="21"/>
  <c r="L17" i="21"/>
  <c r="AJ20" i="21"/>
  <c r="C209" i="21" s="1"/>
  <c r="AJ19" i="21"/>
  <c r="C208" i="21" s="1"/>
  <c r="AJ18" i="21"/>
  <c r="C207" i="21" s="1"/>
  <c r="AG16" i="21"/>
  <c r="AJ22" i="21"/>
  <c r="C211" i="21" s="1"/>
  <c r="AJ21" i="21"/>
  <c r="C210" i="21" s="1"/>
  <c r="AJ17" i="21"/>
  <c r="C206" i="21" s="1"/>
  <c r="BE16" i="21"/>
  <c r="BH17" i="21"/>
  <c r="C314" i="21" s="1"/>
  <c r="BC21" i="21"/>
  <c r="M31" i="21"/>
  <c r="BC31" i="21"/>
  <c r="X42" i="21"/>
  <c r="C139" i="21" s="1"/>
  <c r="X41" i="21"/>
  <c r="C138" i="21" s="1"/>
  <c r="X37" i="21"/>
  <c r="C134" i="21" s="1"/>
  <c r="X40" i="21"/>
  <c r="C137" i="21" s="1"/>
  <c r="X39" i="21"/>
  <c r="C136" i="21" s="1"/>
  <c r="X38" i="21"/>
  <c r="C135" i="21" s="1"/>
  <c r="U36" i="21"/>
  <c r="AV37" i="21"/>
  <c r="C290" i="21" s="1"/>
  <c r="AS36" i="21"/>
  <c r="L42" i="21"/>
  <c r="I41" i="21"/>
  <c r="BH42" i="21"/>
  <c r="C319" i="21" s="1"/>
  <c r="BE41" i="21"/>
  <c r="M41" i="21"/>
  <c r="AS21" i="21"/>
  <c r="O26" i="21"/>
  <c r="AA26" i="21"/>
  <c r="AM26" i="21"/>
  <c r="AY26" i="21"/>
  <c r="R27" i="21"/>
  <c r="C86" i="21" s="1"/>
  <c r="AD27" i="21"/>
  <c r="C170" i="21" s="1"/>
  <c r="AP27" i="21"/>
  <c r="C254" i="21" s="1"/>
  <c r="R31" i="21"/>
  <c r="C90" i="21" s="1"/>
  <c r="AD31" i="21"/>
  <c r="C174" i="21" s="1"/>
  <c r="AP31" i="21"/>
  <c r="C258" i="21" s="1"/>
  <c r="R32" i="21"/>
  <c r="C91" i="21" s="1"/>
  <c r="AD32" i="21"/>
  <c r="C175" i="21" s="1"/>
  <c r="AP32" i="21"/>
  <c r="C259" i="21" s="1"/>
  <c r="AP52" i="21"/>
  <c r="C271" i="21" s="1"/>
  <c r="AP51" i="21"/>
  <c r="C270" i="21" s="1"/>
  <c r="AP47" i="21"/>
  <c r="C266" i="21" s="1"/>
  <c r="AM46" i="21"/>
  <c r="BH47" i="21"/>
  <c r="C320" i="21" s="1"/>
  <c r="AP48" i="21"/>
  <c r="C267" i="21" s="1"/>
  <c r="AP50" i="21"/>
  <c r="C269" i="21" s="1"/>
  <c r="L52" i="21"/>
  <c r="AW61" i="21"/>
  <c r="BI60" i="21"/>
  <c r="AW60" i="21"/>
  <c r="M60" i="21"/>
  <c r="BI59" i="21"/>
  <c r="AW59" i="21"/>
  <c r="M59" i="21"/>
  <c r="BC54" i="21"/>
  <c r="AQ54" i="21"/>
  <c r="AE54" i="21"/>
  <c r="S54" i="21"/>
  <c r="BC55" i="21"/>
  <c r="AQ55" i="21"/>
  <c r="AE55" i="21"/>
  <c r="S55" i="21"/>
  <c r="BC60" i="21"/>
  <c r="BC59" i="21"/>
  <c r="BI54" i="21"/>
  <c r="AW54" i="21"/>
  <c r="AK54" i="21"/>
  <c r="Y54" i="21"/>
  <c r="M54" i="21"/>
  <c r="Y56" i="21"/>
  <c r="AK56" i="21"/>
  <c r="AW56" i="21"/>
  <c r="BI56" i="21"/>
  <c r="AV57" i="21"/>
  <c r="C294" i="21" s="1"/>
  <c r="V66" i="21"/>
  <c r="AA66" i="21"/>
  <c r="BE71" i="21"/>
  <c r="BB17" i="21"/>
  <c r="C300" i="21" s="1"/>
  <c r="R18" i="21"/>
  <c r="C81" i="21" s="1"/>
  <c r="AD18" i="21"/>
  <c r="C165" i="21" s="1"/>
  <c r="AP18" i="21"/>
  <c r="C249" i="21" s="1"/>
  <c r="R19" i="21"/>
  <c r="C82" i="21" s="1"/>
  <c r="AD19" i="21"/>
  <c r="C166" i="21" s="1"/>
  <c r="AP19" i="21"/>
  <c r="C250" i="21" s="1"/>
  <c r="R20" i="21"/>
  <c r="C83" i="21" s="1"/>
  <c r="AD20" i="21"/>
  <c r="C167" i="21" s="1"/>
  <c r="AP20" i="21"/>
  <c r="C251" i="21" s="1"/>
  <c r="AS31" i="21"/>
  <c r="E38" i="21"/>
  <c r="AJ50" i="21"/>
  <c r="C227" i="21" s="1"/>
  <c r="AJ49" i="21"/>
  <c r="C226" i="21" s="1"/>
  <c r="AJ48" i="21"/>
  <c r="C225" i="21" s="1"/>
  <c r="AG46" i="21"/>
  <c r="BE51" i="21"/>
  <c r="BH52" i="21"/>
  <c r="C321" i="21" s="1"/>
  <c r="R62" i="21"/>
  <c r="C109" i="21" s="1"/>
  <c r="R61" i="21"/>
  <c r="C108" i="21" s="1"/>
  <c r="R57" i="21"/>
  <c r="C104" i="21" s="1"/>
  <c r="O56" i="21"/>
  <c r="R60" i="21"/>
  <c r="C107" i="21" s="1"/>
  <c r="R59" i="21"/>
  <c r="C106" i="21" s="1"/>
  <c r="R58" i="21"/>
  <c r="C105" i="21" s="1"/>
  <c r="AD62" i="21"/>
  <c r="C193" i="21" s="1"/>
  <c r="AD61" i="21"/>
  <c r="C192" i="21" s="1"/>
  <c r="AD57" i="21"/>
  <c r="C188" i="21" s="1"/>
  <c r="AA56" i="21"/>
  <c r="AD60" i="21"/>
  <c r="C191" i="21" s="1"/>
  <c r="AD59" i="21"/>
  <c r="C190" i="21" s="1"/>
  <c r="AD58" i="21"/>
  <c r="C189" i="21" s="1"/>
  <c r="AP62" i="21"/>
  <c r="C277" i="21" s="1"/>
  <c r="AP61" i="21"/>
  <c r="C276" i="21" s="1"/>
  <c r="AP57" i="21"/>
  <c r="C272" i="21" s="1"/>
  <c r="AM56" i="21"/>
  <c r="AP60" i="21"/>
  <c r="C275" i="21" s="1"/>
  <c r="AP59" i="21"/>
  <c r="C274" i="21" s="1"/>
  <c r="AP58" i="21"/>
  <c r="C273" i="21" s="1"/>
  <c r="AY56" i="21"/>
  <c r="BB57" i="21"/>
  <c r="C308" i="21" s="1"/>
  <c r="I66" i="21"/>
  <c r="BE66" i="21"/>
  <c r="E8" i="21"/>
  <c r="R28" i="21"/>
  <c r="C87" i="21" s="1"/>
  <c r="AD28" i="21"/>
  <c r="C171" i="21" s="1"/>
  <c r="AP28" i="21"/>
  <c r="C255" i="21" s="1"/>
  <c r="R29" i="21"/>
  <c r="C88" i="21" s="1"/>
  <c r="AD29" i="21"/>
  <c r="C172" i="21" s="1"/>
  <c r="AP29" i="21"/>
  <c r="C256" i="21" s="1"/>
  <c r="L32" i="21"/>
  <c r="F52" i="21"/>
  <c r="AQ46" i="21" s="1"/>
  <c r="E48" i="21"/>
  <c r="L47" i="21"/>
  <c r="G51" i="21"/>
  <c r="AW51" i="21"/>
  <c r="AJ52" i="21"/>
  <c r="C229" i="21" s="1"/>
  <c r="AW55" i="21"/>
  <c r="S56" i="21"/>
  <c r="AE56" i="21"/>
  <c r="AQ56" i="21"/>
  <c r="BC56" i="21"/>
  <c r="BE61" i="21"/>
  <c r="BH62" i="21"/>
  <c r="C323" i="21" s="1"/>
  <c r="AT66" i="21"/>
  <c r="AY66" i="21"/>
  <c r="AV72" i="21"/>
  <c r="C297" i="21" s="1"/>
  <c r="AS71" i="21"/>
  <c r="BI71" i="21"/>
  <c r="BC71" i="21"/>
  <c r="BI66" i="21"/>
  <c r="BC66" i="21"/>
  <c r="AW66" i="21"/>
  <c r="AQ66" i="21"/>
  <c r="AK66" i="21"/>
  <c r="AE66" i="21"/>
  <c r="Y66" i="21"/>
  <c r="S66" i="21"/>
  <c r="M66" i="21"/>
  <c r="BC65" i="21"/>
  <c r="AQ65" i="21"/>
  <c r="AE65" i="21"/>
  <c r="S65" i="21"/>
  <c r="BC70" i="21"/>
  <c r="BC69" i="21"/>
  <c r="BI64" i="21"/>
  <c r="AW64" i="21"/>
  <c r="AK64" i="21"/>
  <c r="Y64" i="21"/>
  <c r="M64" i="21"/>
  <c r="BI65" i="21"/>
  <c r="AW65" i="21"/>
  <c r="AK65" i="21"/>
  <c r="Y65" i="21"/>
  <c r="M65" i="21"/>
  <c r="O16" i="21"/>
  <c r="AA16" i="21"/>
  <c r="AM16" i="21"/>
  <c r="R17" i="21"/>
  <c r="C80" i="21" s="1"/>
  <c r="AD17" i="21"/>
  <c r="C164" i="21" s="1"/>
  <c r="AP17" i="21"/>
  <c r="C248" i="21" s="1"/>
  <c r="E18" i="21"/>
  <c r="R21" i="21"/>
  <c r="C84" i="21" s="1"/>
  <c r="AD21" i="21"/>
  <c r="C168" i="21" s="1"/>
  <c r="AP21" i="21"/>
  <c r="C252" i="21" s="1"/>
  <c r="AJ51" i="21"/>
  <c r="C228" i="21" s="1"/>
  <c r="I56" i="21"/>
  <c r="L57" i="21"/>
  <c r="X60" i="21"/>
  <c r="C149" i="21" s="1"/>
  <c r="X59" i="21"/>
  <c r="C148" i="21" s="1"/>
  <c r="X58" i="21"/>
  <c r="C147" i="21" s="1"/>
  <c r="U56" i="21"/>
  <c r="X62" i="21"/>
  <c r="C151" i="21" s="1"/>
  <c r="X61" i="21"/>
  <c r="C150" i="21" s="1"/>
  <c r="X57" i="21"/>
  <c r="C146" i="21" s="1"/>
  <c r="AJ60" i="21"/>
  <c r="C233" i="21" s="1"/>
  <c r="AJ59" i="21"/>
  <c r="C232" i="21" s="1"/>
  <c r="AJ58" i="21"/>
  <c r="C231" i="21" s="1"/>
  <c r="AG56" i="21"/>
  <c r="AJ62" i="21"/>
  <c r="C235" i="21" s="1"/>
  <c r="AJ61" i="21"/>
  <c r="C234" i="21" s="1"/>
  <c r="AJ57" i="21"/>
  <c r="C230" i="21" s="1"/>
  <c r="BE56" i="21"/>
  <c r="BH57" i="21"/>
  <c r="C322" i="21" s="1"/>
  <c r="G60" i="21"/>
  <c r="M61" i="21"/>
  <c r="BI61" i="21"/>
  <c r="AJ72" i="21"/>
  <c r="C241" i="21" s="1"/>
  <c r="AJ71" i="21"/>
  <c r="C240" i="21" s="1"/>
  <c r="AJ67" i="21"/>
  <c r="C236" i="21" s="1"/>
  <c r="AG66" i="21"/>
  <c r="AJ68" i="21"/>
  <c r="C237" i="21" s="1"/>
  <c r="AJ70" i="21"/>
  <c r="C239" i="21" s="1"/>
  <c r="I71" i="21"/>
  <c r="L72" i="21"/>
  <c r="M56" i="21"/>
  <c r="R68" i="21"/>
  <c r="C111" i="21" s="1"/>
  <c r="AD68" i="21"/>
  <c r="C195" i="21" s="1"/>
  <c r="AP68" i="21"/>
  <c r="C279" i="21" s="1"/>
  <c r="R69" i="21"/>
  <c r="C112" i="21" s="1"/>
  <c r="AD69" i="21"/>
  <c r="C196" i="21" s="1"/>
  <c r="AP69" i="21"/>
  <c r="C280" i="21" s="1"/>
  <c r="E58" i="21"/>
  <c r="R48" i="27"/>
  <c r="R46" i="27"/>
  <c r="R43" i="27"/>
  <c r="R47" i="27"/>
  <c r="Y26" i="45" l="1"/>
  <c r="M31" i="45"/>
  <c r="AD32" i="45"/>
  <c r="AD31" i="45"/>
  <c r="AD27" i="45"/>
  <c r="AA26" i="45"/>
  <c r="AD29" i="45"/>
  <c r="AD30" i="45"/>
  <c r="AD28" i="45"/>
  <c r="BI41" i="45"/>
  <c r="BC41" i="45"/>
  <c r="BI36" i="45"/>
  <c r="BC36" i="45"/>
  <c r="AW36" i="45"/>
  <c r="AQ36" i="45"/>
  <c r="AK36" i="45"/>
  <c r="AE36" i="45"/>
  <c r="Y36" i="45"/>
  <c r="S36" i="45"/>
  <c r="M36" i="45"/>
  <c r="BC35" i="45"/>
  <c r="AQ35" i="45"/>
  <c r="AE35" i="45"/>
  <c r="S35" i="45"/>
  <c r="BC40" i="45"/>
  <c r="BC39" i="45"/>
  <c r="BI34" i="45"/>
  <c r="AW34" i="45"/>
  <c r="AK34" i="45"/>
  <c r="Y34" i="45"/>
  <c r="M34" i="45"/>
  <c r="AW40" i="45"/>
  <c r="BI39" i="45"/>
  <c r="M39" i="45"/>
  <c r="AW35" i="45"/>
  <c r="AQ34" i="45"/>
  <c r="BI40" i="45"/>
  <c r="M40" i="45"/>
  <c r="BI35" i="45"/>
  <c r="M35" i="45"/>
  <c r="BC34" i="45"/>
  <c r="Y35" i="45"/>
  <c r="S34" i="45"/>
  <c r="AW41" i="45"/>
  <c r="AK35" i="45"/>
  <c r="AE34" i="45"/>
  <c r="AW39" i="45"/>
  <c r="AV62" i="45"/>
  <c r="AS61" i="45"/>
  <c r="BI30" i="45"/>
  <c r="AW30" i="45"/>
  <c r="M30" i="45"/>
  <c r="BI29" i="45"/>
  <c r="AW29" i="45"/>
  <c r="M29" i="45"/>
  <c r="BC24" i="45"/>
  <c r="AQ24" i="45"/>
  <c r="AE24" i="45"/>
  <c r="S24" i="45"/>
  <c r="BC31" i="45"/>
  <c r="AQ26" i="45"/>
  <c r="S26" i="45"/>
  <c r="BI25" i="45"/>
  <c r="AW25" i="45"/>
  <c r="AK25" i="45"/>
  <c r="Y25" i="45"/>
  <c r="M25" i="45"/>
  <c r="Y24" i="45"/>
  <c r="AK24" i="45"/>
  <c r="BC29" i="45"/>
  <c r="BC25" i="45"/>
  <c r="AQ25" i="45"/>
  <c r="AE25" i="45"/>
  <c r="S25" i="45"/>
  <c r="AW24" i="45"/>
  <c r="BI24" i="45"/>
  <c r="BC30" i="45"/>
  <c r="AK26" i="45"/>
  <c r="M24" i="45"/>
  <c r="BI26" i="45"/>
  <c r="M26" i="45"/>
  <c r="E38" i="45"/>
  <c r="L32" i="45"/>
  <c r="I31" i="45"/>
  <c r="R32" i="45"/>
  <c r="R31" i="45"/>
  <c r="R27" i="45"/>
  <c r="O26" i="45"/>
  <c r="R30" i="45"/>
  <c r="R28" i="45"/>
  <c r="R29" i="45"/>
  <c r="AW11" i="45"/>
  <c r="BI10" i="45"/>
  <c r="AW10" i="45"/>
  <c r="M10" i="45"/>
  <c r="BI9" i="45"/>
  <c r="AW9" i="45"/>
  <c r="M9" i="45"/>
  <c r="BC4" i="45"/>
  <c r="AQ4" i="45"/>
  <c r="AE4" i="45"/>
  <c r="S4" i="45"/>
  <c r="BC5" i="45"/>
  <c r="AQ5" i="45"/>
  <c r="AE5" i="45"/>
  <c r="S5" i="45"/>
  <c r="BC10" i="45"/>
  <c r="BC9" i="45"/>
  <c r="BI4" i="45"/>
  <c r="AW4" i="45"/>
  <c r="AK4" i="45"/>
  <c r="Y5" i="45"/>
  <c r="Y4" i="45"/>
  <c r="AK5" i="45"/>
  <c r="AW5" i="45"/>
  <c r="BI5" i="45"/>
  <c r="M5" i="45"/>
  <c r="M4" i="45"/>
  <c r="BC26" i="45"/>
  <c r="M11" i="45"/>
  <c r="AQ6" i="45"/>
  <c r="AV17" i="45"/>
  <c r="AS16" i="45"/>
  <c r="AW31" i="45"/>
  <c r="AE6" i="45"/>
  <c r="AE26" i="45"/>
  <c r="X21" i="45"/>
  <c r="X17" i="45"/>
  <c r="U16" i="45"/>
  <c r="X22" i="45"/>
  <c r="X19" i="45"/>
  <c r="X20" i="45"/>
  <c r="X18" i="45"/>
  <c r="AW11" i="42"/>
  <c r="AQ6" i="42"/>
  <c r="S6" i="42"/>
  <c r="M11" i="42"/>
  <c r="BI6" i="42"/>
  <c r="AK6" i="42"/>
  <c r="BI70" i="42"/>
  <c r="BC70" i="42"/>
  <c r="AW70" i="42"/>
  <c r="M70" i="42"/>
  <c r="BI69" i="42"/>
  <c r="BC69" i="42"/>
  <c r="AW69" i="42"/>
  <c r="M69" i="42"/>
  <c r="BI65" i="42"/>
  <c r="BC65" i="42"/>
  <c r="AW65" i="42"/>
  <c r="AQ65" i="42"/>
  <c r="AK65" i="42"/>
  <c r="AE65" i="42"/>
  <c r="Y65" i="42"/>
  <c r="S65" i="42"/>
  <c r="M65" i="42"/>
  <c r="BI64" i="42"/>
  <c r="BC64" i="42"/>
  <c r="AW64" i="42"/>
  <c r="AQ64" i="42"/>
  <c r="AK64" i="42"/>
  <c r="AE64" i="42"/>
  <c r="Y64" i="42"/>
  <c r="S64" i="42"/>
  <c r="M64" i="42"/>
  <c r="BI60" i="42"/>
  <c r="BC60" i="42"/>
  <c r="AW60" i="42"/>
  <c r="M60" i="42"/>
  <c r="BI59" i="42"/>
  <c r="BC59" i="42"/>
  <c r="AW59" i="42"/>
  <c r="M59" i="42"/>
  <c r="BI55" i="42"/>
  <c r="BC55" i="42"/>
  <c r="AW55" i="42"/>
  <c r="AQ55" i="42"/>
  <c r="AK55" i="42"/>
  <c r="AE55" i="42"/>
  <c r="Y55" i="42"/>
  <c r="S55" i="42"/>
  <c r="M55" i="42"/>
  <c r="BI54" i="42"/>
  <c r="BC54" i="42"/>
  <c r="AW54" i="42"/>
  <c r="AQ54" i="42"/>
  <c r="AK54" i="42"/>
  <c r="AE54" i="42"/>
  <c r="Y54" i="42"/>
  <c r="S54" i="42"/>
  <c r="M54" i="42"/>
  <c r="BI50" i="42"/>
  <c r="BC50" i="42"/>
  <c r="AW50" i="42"/>
  <c r="M50" i="42"/>
  <c r="BI49" i="42"/>
  <c r="BC49" i="42"/>
  <c r="AW49" i="42"/>
  <c r="M49" i="42"/>
  <c r="BI45" i="42"/>
  <c r="BC45" i="42"/>
  <c r="AW45" i="42"/>
  <c r="AQ45" i="42"/>
  <c r="AK45" i="42"/>
  <c r="AE45" i="42"/>
  <c r="Y45" i="42"/>
  <c r="S45" i="42"/>
  <c r="M45" i="42"/>
  <c r="BI44" i="42"/>
  <c r="BC44" i="42"/>
  <c r="AW44" i="42"/>
  <c r="AQ44" i="42"/>
  <c r="AK44" i="42"/>
  <c r="AE44" i="42"/>
  <c r="Y44" i="42"/>
  <c r="S44" i="42"/>
  <c r="M44" i="42"/>
  <c r="BI40" i="42"/>
  <c r="BC40" i="42"/>
  <c r="AW40" i="42"/>
  <c r="M40" i="42"/>
  <c r="BI39" i="42"/>
  <c r="BC39" i="42"/>
  <c r="AW39" i="42"/>
  <c r="M39" i="42"/>
  <c r="BI35" i="42"/>
  <c r="BC35" i="42"/>
  <c r="AW35" i="42"/>
  <c r="AQ35" i="42"/>
  <c r="AK35" i="42"/>
  <c r="AE35" i="42"/>
  <c r="Y35" i="42"/>
  <c r="S35" i="42"/>
  <c r="M35" i="42"/>
  <c r="BI34" i="42"/>
  <c r="BC34" i="42"/>
  <c r="AW34" i="42"/>
  <c r="AQ34" i="42"/>
  <c r="AK34" i="42"/>
  <c r="AE34" i="42"/>
  <c r="Y34" i="42"/>
  <c r="S34" i="42"/>
  <c r="M34" i="42"/>
  <c r="BI30" i="42"/>
  <c r="BC30" i="42"/>
  <c r="AW30" i="42"/>
  <c r="M30" i="42"/>
  <c r="BI29" i="42"/>
  <c r="BC29" i="42"/>
  <c r="AW29" i="42"/>
  <c r="M29" i="42"/>
  <c r="BI25" i="42"/>
  <c r="BC25" i="42"/>
  <c r="AW25" i="42"/>
  <c r="AQ25" i="42"/>
  <c r="AK25" i="42"/>
  <c r="AE25" i="42"/>
  <c r="Y25" i="42"/>
  <c r="S25" i="42"/>
  <c r="M25" i="42"/>
  <c r="BI24" i="42"/>
  <c r="BC24" i="42"/>
  <c r="AW24" i="42"/>
  <c r="AQ24" i="42"/>
  <c r="AK24" i="42"/>
  <c r="AE24" i="42"/>
  <c r="Y24" i="42"/>
  <c r="S24" i="42"/>
  <c r="M24" i="42"/>
  <c r="BI20" i="42"/>
  <c r="BC20" i="42"/>
  <c r="AW20" i="42"/>
  <c r="M20" i="42"/>
  <c r="BI19" i="42"/>
  <c r="BC19" i="42"/>
  <c r="AW19" i="42"/>
  <c r="M19" i="42"/>
  <c r="BI15" i="42"/>
  <c r="BC15" i="42"/>
  <c r="AW15" i="42"/>
  <c r="AQ15" i="42"/>
  <c r="AK15" i="42"/>
  <c r="AE15" i="42"/>
  <c r="Y15" i="42"/>
  <c r="S15" i="42"/>
  <c r="M15" i="42"/>
  <c r="BI14" i="42"/>
  <c r="BC14" i="42"/>
  <c r="AW14" i="42"/>
  <c r="AQ14" i="42"/>
  <c r="AK14" i="42"/>
  <c r="AE14" i="42"/>
  <c r="Y14" i="42"/>
  <c r="S14" i="42"/>
  <c r="M14" i="42"/>
  <c r="BI10" i="42"/>
  <c r="BC10" i="42"/>
  <c r="AW10" i="42"/>
  <c r="M10" i="42"/>
  <c r="BI9" i="42"/>
  <c r="BC9" i="42"/>
  <c r="AW9" i="42"/>
  <c r="M9" i="42"/>
  <c r="BI5" i="42"/>
  <c r="BC5" i="42"/>
  <c r="AW5" i="42"/>
  <c r="AQ5" i="42"/>
  <c r="AK5" i="42"/>
  <c r="AE5" i="42"/>
  <c r="Y5" i="42"/>
  <c r="S5" i="42"/>
  <c r="M5" i="42"/>
  <c r="BI4" i="42"/>
  <c r="BC4" i="42"/>
  <c r="AW4" i="42"/>
  <c r="AQ4" i="42"/>
  <c r="AK4" i="42"/>
  <c r="AE4" i="42"/>
  <c r="Y4" i="42"/>
  <c r="S4" i="42"/>
  <c r="M4" i="42"/>
  <c r="BI70" i="39"/>
  <c r="BC70" i="39"/>
  <c r="AW70" i="39"/>
  <c r="M70" i="39"/>
  <c r="BI69" i="39"/>
  <c r="BC69" i="39"/>
  <c r="AW69" i="39"/>
  <c r="M69" i="39"/>
  <c r="BI65" i="39"/>
  <c r="BC65" i="39"/>
  <c r="AW65" i="39"/>
  <c r="AQ65" i="39"/>
  <c r="AK65" i="39"/>
  <c r="AE65" i="39"/>
  <c r="Y65" i="39"/>
  <c r="S65" i="39"/>
  <c r="M65" i="39"/>
  <c r="BI64" i="39"/>
  <c r="BC64" i="39"/>
  <c r="AW64" i="39"/>
  <c r="AQ64" i="39"/>
  <c r="AK64" i="39"/>
  <c r="AE64" i="39"/>
  <c r="Y64" i="39"/>
  <c r="S64" i="39"/>
  <c r="M64" i="39"/>
  <c r="BI60" i="39"/>
  <c r="BC60" i="39"/>
  <c r="AW60" i="39"/>
  <c r="M60" i="39"/>
  <c r="BI59" i="39"/>
  <c r="BC59" i="39"/>
  <c r="AW59" i="39"/>
  <c r="M59" i="39"/>
  <c r="BI55" i="39"/>
  <c r="BC55" i="39"/>
  <c r="AW55" i="39"/>
  <c r="AQ55" i="39"/>
  <c r="AK55" i="39"/>
  <c r="AE55" i="39"/>
  <c r="Y55" i="39"/>
  <c r="S55" i="39"/>
  <c r="M55" i="39"/>
  <c r="BI54" i="39"/>
  <c r="BC54" i="39"/>
  <c r="AW54" i="39"/>
  <c r="AQ54" i="39"/>
  <c r="AK54" i="39"/>
  <c r="AE54" i="39"/>
  <c r="Y54" i="39"/>
  <c r="S54" i="39"/>
  <c r="M54" i="39"/>
  <c r="BI50" i="39"/>
  <c r="BC50" i="39"/>
  <c r="AW50" i="39"/>
  <c r="M50" i="39"/>
  <c r="BI49" i="39"/>
  <c r="BC49" i="39"/>
  <c r="AW49" i="39"/>
  <c r="M49" i="39"/>
  <c r="BI45" i="39"/>
  <c r="BC45" i="39"/>
  <c r="AW45" i="39"/>
  <c r="AQ45" i="39"/>
  <c r="AK45" i="39"/>
  <c r="AE45" i="39"/>
  <c r="Y45" i="39"/>
  <c r="S45" i="39"/>
  <c r="M45" i="39"/>
  <c r="BI44" i="39"/>
  <c r="BC44" i="39"/>
  <c r="AW44" i="39"/>
  <c r="AQ44" i="39"/>
  <c r="AK44" i="39"/>
  <c r="AE44" i="39"/>
  <c r="Y44" i="39"/>
  <c r="S44" i="39"/>
  <c r="M44" i="39"/>
  <c r="BI40" i="39"/>
  <c r="BC40" i="39"/>
  <c r="AW40" i="39"/>
  <c r="M40" i="39"/>
  <c r="BI39" i="39"/>
  <c r="BC39" i="39"/>
  <c r="AW39" i="39"/>
  <c r="M39" i="39"/>
  <c r="BI35" i="39"/>
  <c r="BC35" i="39"/>
  <c r="AW35" i="39"/>
  <c r="AQ35" i="39"/>
  <c r="AK35" i="39"/>
  <c r="AE35" i="39"/>
  <c r="Y35" i="39"/>
  <c r="S35" i="39"/>
  <c r="M35" i="39"/>
  <c r="BI34" i="39"/>
  <c r="BC34" i="39"/>
  <c r="AW34" i="39"/>
  <c r="AQ34" i="39"/>
  <c r="AK34" i="39"/>
  <c r="AE34" i="39"/>
  <c r="Y34" i="39"/>
  <c r="S34" i="39"/>
  <c r="M34" i="39"/>
  <c r="BI30" i="39"/>
  <c r="BC30" i="39"/>
  <c r="AW30" i="39"/>
  <c r="M30" i="39"/>
  <c r="BI29" i="39"/>
  <c r="BC29" i="39"/>
  <c r="AW29" i="39"/>
  <c r="M29" i="39"/>
  <c r="BI25" i="39"/>
  <c r="BC25" i="39"/>
  <c r="AW25" i="39"/>
  <c r="AQ25" i="39"/>
  <c r="AK25" i="39"/>
  <c r="AE25" i="39"/>
  <c r="Y25" i="39"/>
  <c r="S25" i="39"/>
  <c r="M25" i="39"/>
  <c r="BI24" i="39"/>
  <c r="BC24" i="39"/>
  <c r="AW24" i="39"/>
  <c r="AQ24" i="39"/>
  <c r="AK24" i="39"/>
  <c r="AE24" i="39"/>
  <c r="Y24" i="39"/>
  <c r="S24" i="39"/>
  <c r="M24" i="39"/>
  <c r="BI20" i="39"/>
  <c r="BC20" i="39"/>
  <c r="AW20" i="39"/>
  <c r="M20" i="39"/>
  <c r="BI19" i="39"/>
  <c r="BC19" i="39"/>
  <c r="AW19" i="39"/>
  <c r="M19" i="39"/>
  <c r="BI15" i="39"/>
  <c r="BC15" i="39"/>
  <c r="AW15" i="39"/>
  <c r="AQ15" i="39"/>
  <c r="AK15" i="39"/>
  <c r="AE15" i="39"/>
  <c r="Y15" i="39"/>
  <c r="S15" i="39"/>
  <c r="M15" i="39"/>
  <c r="BI14" i="39"/>
  <c r="BC14" i="39"/>
  <c r="AW14" i="39"/>
  <c r="AQ14" i="39"/>
  <c r="AK14" i="39"/>
  <c r="AE14" i="39"/>
  <c r="Y14" i="39"/>
  <c r="S14" i="39"/>
  <c r="M14" i="39"/>
  <c r="C326" i="39"/>
  <c r="BI10" i="39"/>
  <c r="BC10" i="39"/>
  <c r="AW10" i="39"/>
  <c r="M10" i="39"/>
  <c r="BI9" i="39"/>
  <c r="BC9" i="39"/>
  <c r="AW9" i="39"/>
  <c r="M9" i="39"/>
  <c r="BI5" i="39"/>
  <c r="BC5" i="39"/>
  <c r="AW5" i="39"/>
  <c r="AQ5" i="39"/>
  <c r="AK5" i="39"/>
  <c r="AE5" i="39"/>
  <c r="Y5" i="39"/>
  <c r="S5" i="39"/>
  <c r="M5" i="39"/>
  <c r="BI4" i="39"/>
  <c r="BC4" i="39"/>
  <c r="AW4" i="39"/>
  <c r="AQ4" i="39"/>
  <c r="AK4" i="39"/>
  <c r="AE4" i="39"/>
  <c r="Y4" i="39"/>
  <c r="S4" i="39"/>
  <c r="M4" i="39"/>
  <c r="C327" i="39"/>
  <c r="AV67" i="21"/>
  <c r="C296" i="21" s="1"/>
  <c r="AS66" i="21"/>
  <c r="BC51" i="21"/>
  <c r="BE71" i="2"/>
  <c r="BE69" i="2"/>
  <c r="BE68" i="2"/>
  <c r="BA67" i="2"/>
  <c r="BE73" i="2"/>
  <c r="BE70" i="2"/>
  <c r="BE72" i="2"/>
  <c r="M38" i="2"/>
  <c r="I37" i="2"/>
  <c r="AR61" i="2"/>
  <c r="AR59" i="2"/>
  <c r="AR58" i="2"/>
  <c r="AR63" i="2"/>
  <c r="AN57" i="2"/>
  <c r="AR62" i="2"/>
  <c r="AR60" i="2"/>
  <c r="BE43" i="2"/>
  <c r="BE42" i="2"/>
  <c r="BE40" i="2"/>
  <c r="BE41" i="2"/>
  <c r="BE39" i="2"/>
  <c r="BE38" i="2"/>
  <c r="BA37" i="2"/>
  <c r="G37" i="2" s="1"/>
  <c r="I27" i="2"/>
  <c r="M28" i="2"/>
  <c r="BI50" i="21"/>
  <c r="AW50" i="21"/>
  <c r="M50" i="21"/>
  <c r="BI49" i="21"/>
  <c r="AW49" i="21"/>
  <c r="M49" i="21"/>
  <c r="BC44" i="21"/>
  <c r="AQ44" i="21"/>
  <c r="AE44" i="21"/>
  <c r="S44" i="21"/>
  <c r="BC50" i="21"/>
  <c r="BI46" i="21"/>
  <c r="AK46" i="21"/>
  <c r="M46" i="21"/>
  <c r="BI44" i="21"/>
  <c r="M44" i="21"/>
  <c r="BI45" i="21"/>
  <c r="AW45" i="21"/>
  <c r="AK45" i="21"/>
  <c r="Y45" i="21"/>
  <c r="M45" i="21"/>
  <c r="Y44" i="21"/>
  <c r="M51" i="21"/>
  <c r="AW46" i="21"/>
  <c r="Y46" i="21"/>
  <c r="AK44" i="21"/>
  <c r="BC49" i="21"/>
  <c r="BC46" i="21"/>
  <c r="AE46" i="21"/>
  <c r="BC45" i="21"/>
  <c r="AQ45" i="21"/>
  <c r="AE45" i="21"/>
  <c r="S45" i="21"/>
  <c r="AW44" i="21"/>
  <c r="X72" i="21"/>
  <c r="C157" i="21" s="1"/>
  <c r="X71" i="21"/>
  <c r="C156" i="21" s="1"/>
  <c r="X67" i="21"/>
  <c r="C152" i="21" s="1"/>
  <c r="U66" i="21"/>
  <c r="X69" i="21"/>
  <c r="C154" i="21" s="1"/>
  <c r="X70" i="21"/>
  <c r="C155" i="21" s="1"/>
  <c r="X68" i="21"/>
  <c r="C153" i="21" s="1"/>
  <c r="BP8" i="2"/>
  <c r="BM7" i="2"/>
  <c r="AE62" i="2"/>
  <c r="AE60" i="2"/>
  <c r="AE59" i="2"/>
  <c r="AA57" i="2"/>
  <c r="AE63" i="2"/>
  <c r="AE58" i="2"/>
  <c r="AE61" i="2"/>
  <c r="BM47" i="2"/>
  <c r="BP48" i="2"/>
  <c r="BV38" i="2"/>
  <c r="BS37" i="2"/>
  <c r="BM27" i="2"/>
  <c r="BP28" i="2"/>
  <c r="BS42" i="2"/>
  <c r="BV43" i="2"/>
  <c r="BM17" i="2"/>
  <c r="BP18" i="2"/>
  <c r="S13" i="2"/>
  <c r="S12" i="2"/>
  <c r="S10" i="2"/>
  <c r="O7" i="2"/>
  <c r="S11" i="2"/>
  <c r="S9" i="2"/>
  <c r="S8" i="2"/>
  <c r="S61" i="2"/>
  <c r="S59" i="2"/>
  <c r="S58" i="2"/>
  <c r="O57" i="2"/>
  <c r="S63" i="2"/>
  <c r="S62" i="2"/>
  <c r="S60" i="2"/>
  <c r="BE9" i="2"/>
  <c r="BA7" i="2"/>
  <c r="BE11" i="2"/>
  <c r="BE13" i="2"/>
  <c r="BE12" i="2"/>
  <c r="BE10" i="2"/>
  <c r="BE8" i="2"/>
  <c r="I57" i="2"/>
  <c r="M58" i="2"/>
  <c r="BE51" i="2"/>
  <c r="BE49" i="2"/>
  <c r="BE48" i="2"/>
  <c r="BA47" i="2"/>
  <c r="G47" i="2" s="1"/>
  <c r="BE53" i="2"/>
  <c r="BE50" i="2"/>
  <c r="BE52" i="2"/>
  <c r="BE31" i="2"/>
  <c r="BE29" i="2"/>
  <c r="BE28" i="2"/>
  <c r="BA27" i="2"/>
  <c r="G27" i="2" s="1"/>
  <c r="BE32" i="2"/>
  <c r="BE33" i="2"/>
  <c r="BE30" i="2"/>
  <c r="BM67" i="2"/>
  <c r="G67" i="2" s="1"/>
  <c r="BP68" i="2"/>
  <c r="I67" i="2"/>
  <c r="M68" i="2"/>
  <c r="BE61" i="2"/>
  <c r="BA57" i="2"/>
  <c r="G57" i="2" s="1"/>
  <c r="BE62" i="2"/>
  <c r="BE60" i="2"/>
  <c r="BE59" i="2"/>
  <c r="BE63" i="2"/>
  <c r="BE58" i="2"/>
  <c r="BE23" i="2"/>
  <c r="BE22" i="2"/>
  <c r="BE20" i="2"/>
  <c r="BE21" i="2"/>
  <c r="BE19" i="2"/>
  <c r="BE18" i="2"/>
  <c r="BA17" i="2"/>
  <c r="G17" i="2" s="1"/>
  <c r="BV8" i="2"/>
  <c r="BS7" i="2"/>
  <c r="C327" i="21"/>
  <c r="C326" i="21"/>
  <c r="BS67" i="2"/>
  <c r="BV68" i="2"/>
  <c r="S41" i="2"/>
  <c r="S39" i="2"/>
  <c r="S38" i="2"/>
  <c r="S42" i="2"/>
  <c r="S40" i="2"/>
  <c r="O37" i="2"/>
  <c r="S43" i="2"/>
  <c r="BS62" i="2"/>
  <c r="BV63" i="2"/>
  <c r="BG7" i="2"/>
  <c r="BK8" i="2"/>
  <c r="O67" i="2"/>
  <c r="S69" i="2"/>
  <c r="S72" i="2"/>
  <c r="S73" i="2"/>
  <c r="S71" i="2"/>
  <c r="S70" i="2"/>
  <c r="S68" i="2"/>
  <c r="G7" i="2"/>
</calcChain>
</file>

<file path=xl/sharedStrings.xml><?xml version="1.0" encoding="utf-8"?>
<sst xmlns="http://schemas.openxmlformats.org/spreadsheetml/2006/main" count="6283" uniqueCount="729">
  <si>
    <t>Sem</t>
  </si>
  <si>
    <t>POISSONS</t>
  </si>
  <si>
    <t xml:space="preserve">PLATS DU JOUR  ITALIEN                                                                                          </t>
  </si>
  <si>
    <t>SAUCE DU JOUR</t>
  </si>
  <si>
    <t xml:space="preserve">PLATS ANIMATION                       MIDI                                                                                    </t>
  </si>
  <si>
    <t>PLATS ANIMATION 2</t>
  </si>
  <si>
    <t>SAUCE NAPOLITAINE EN FIXE (pour 1L)</t>
  </si>
  <si>
    <t xml:space="preserve">PLATS PERMANENTS                                                          </t>
  </si>
  <si>
    <t>midi</t>
  </si>
  <si>
    <t>soir</t>
  </si>
  <si>
    <t>Total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</si>
  <si>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ESPAGNOLE</t>
    </r>
  </si>
  <si>
    <t>RISOTTO ASPERGES</t>
  </si>
  <si>
    <t>BOLOGNAISE</t>
  </si>
  <si>
    <t>CROMESQUIS</t>
  </si>
  <si>
    <t>BROCHETTE DE DINDE TOSCANE</t>
  </si>
  <si>
    <t>TACOS VOLAILLE</t>
  </si>
  <si>
    <t>NAPOLITAINE</t>
  </si>
  <si>
    <t>TENDRE HACHE</t>
  </si>
  <si>
    <t>SLD comme vs l'aimez</t>
  </si>
  <si>
    <t>PILON POULET</t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</si>
  <si>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PANEES</t>
    </r>
  </si>
  <si>
    <t>PR</t>
  </si>
  <si>
    <t>Pr.M</t>
  </si>
  <si>
    <t>RL M</t>
  </si>
  <si>
    <t>L</t>
  </si>
  <si>
    <t>RL</t>
  </si>
  <si>
    <t>Pr.S</t>
  </si>
  <si>
    <t>RL S</t>
  </si>
  <si>
    <t>U</t>
  </si>
  <si>
    <t>Tot % Pr  M</t>
  </si>
  <si>
    <t xml:space="preserve"> TOT</t>
  </si>
  <si>
    <t>R TOT</t>
  </si>
  <si>
    <t>N</t>
  </si>
  <si>
    <t>Tot % Pr  S</t>
  </si>
  <si>
    <t>beignets calamars</t>
  </si>
  <si>
    <t>Riz indica</t>
  </si>
  <si>
    <t>Pâtes</t>
  </si>
  <si>
    <t>appareil croustillant</t>
  </si>
  <si>
    <t>Filet de dinde</t>
  </si>
  <si>
    <t>Tortilla diam30</t>
  </si>
  <si>
    <t>Tomate concassée</t>
  </si>
  <si>
    <t>Steak haché</t>
  </si>
  <si>
    <t xml:space="preserve">Pilon </t>
  </si>
  <si>
    <t>Poulet aiguillette</t>
  </si>
  <si>
    <t>D</t>
  </si>
  <si>
    <t>Tot % RL</t>
  </si>
  <si>
    <t>POISSON JOUR</t>
  </si>
  <si>
    <t>Asperge verte</t>
  </si>
  <si>
    <t>Bœuf haché</t>
  </si>
  <si>
    <t>œuf</t>
  </si>
  <si>
    <t>Sauce Toscane</t>
  </si>
  <si>
    <t>Piccatas de poulet mariné kebab</t>
  </si>
  <si>
    <t>Oignons</t>
  </si>
  <si>
    <t>BAVETTE FLANCHET</t>
  </si>
  <si>
    <t>BUN'S</t>
  </si>
  <si>
    <t>I</t>
  </si>
  <si>
    <t>Jambon cru</t>
  </si>
  <si>
    <t>Tomates concassées</t>
  </si>
  <si>
    <t>chapelure</t>
  </si>
  <si>
    <t>Mayonnaise</t>
  </si>
  <si>
    <t>Carotte</t>
  </si>
  <si>
    <t>Pr. M</t>
  </si>
  <si>
    <t>Champignons</t>
  </si>
  <si>
    <t xml:space="preserve">Harissa </t>
  </si>
  <si>
    <t>Concentré tomate</t>
  </si>
  <si>
    <t>Pr. S</t>
  </si>
  <si>
    <t>Carottes</t>
  </si>
  <si>
    <t xml:space="preserve">Cheddar en tranche </t>
  </si>
  <si>
    <t>Origan</t>
  </si>
  <si>
    <t>Celeri</t>
  </si>
  <si>
    <t>mouler à 25g</t>
  </si>
  <si>
    <t>Crème épaisse</t>
  </si>
  <si>
    <t>Sucre poudre</t>
  </si>
  <si>
    <t>Bavette flanchet</t>
  </si>
  <si>
    <t>Bun's</t>
  </si>
  <si>
    <t>LASAGNE EPINARD FETA</t>
  </si>
  <si>
    <t>AIGUILLETTES SAUCE POIVRE</t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</si>
  <si>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CHORIZO</t>
    </r>
  </si>
  <si>
    <t>M</t>
  </si>
  <si>
    <t>A</t>
  </si>
  <si>
    <t>R</t>
  </si>
  <si>
    <t>lamelles calamars</t>
  </si>
  <si>
    <t xml:space="preserve">Lasagne  </t>
  </si>
  <si>
    <t xml:space="preserve">aiguillettes   </t>
  </si>
  <si>
    <t>Epinard</t>
  </si>
  <si>
    <t>sauce poivre</t>
  </si>
  <si>
    <t>Feta</t>
  </si>
  <si>
    <t>Bechamel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</si>
  <si>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ROMAINE</t>
    </r>
  </si>
  <si>
    <t>SALTIMBOCCA</t>
  </si>
  <si>
    <t>CALAMARS POIVRONS</t>
  </si>
  <si>
    <t>PARMENTIER CANARD</t>
  </si>
  <si>
    <t>BROCHETTE  DINDE THYM CITRON</t>
  </si>
  <si>
    <t>E</t>
  </si>
  <si>
    <t>C</t>
  </si>
  <si>
    <t>Dinde escalope</t>
  </si>
  <si>
    <t>éffiloché de canard</t>
  </si>
  <si>
    <t>From mozza</t>
  </si>
  <si>
    <t>Encornet</t>
  </si>
  <si>
    <t>persillade</t>
  </si>
  <si>
    <t>Sauce thym citron</t>
  </si>
  <si>
    <t>Poivron rge</t>
  </si>
  <si>
    <t>oignon</t>
  </si>
  <si>
    <t>Sauge</t>
  </si>
  <si>
    <t>Poivron vert</t>
  </si>
  <si>
    <t>écrasé PDT</t>
  </si>
  <si>
    <t>Vin blanc cuisine</t>
  </si>
  <si>
    <t>Piment espelette</t>
  </si>
  <si>
    <t>RISOTTO COPPA</t>
  </si>
  <si>
    <t>CROUSTILLANT DE CANARD</t>
  </si>
  <si>
    <t>J</t>
  </si>
  <si>
    <t>feuille de brique</t>
  </si>
  <si>
    <t>Coppa</t>
  </si>
  <si>
    <t>effiloché</t>
  </si>
  <si>
    <t>PDT</t>
  </si>
  <si>
    <t>Base bouillon volaille</t>
  </si>
  <si>
    <t xml:space="preserve">oignon 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</si>
  <si>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PERSILLES</t>
    </r>
  </si>
  <si>
    <t>LASAGNE SAUMON</t>
  </si>
  <si>
    <t>POULET CHAMPIGNON</t>
  </si>
  <si>
    <t>MANCHON CANARD</t>
  </si>
  <si>
    <t>BROCHETTE DE DINDE BBQ</t>
  </si>
  <si>
    <t>V</t>
  </si>
  <si>
    <t>Lasagnes</t>
  </si>
  <si>
    <t xml:space="preserve">manchon   </t>
  </si>
  <si>
    <t>Saumon frais</t>
  </si>
  <si>
    <t>Poulet aiguillettes</t>
  </si>
  <si>
    <t>Sauce BBQ</t>
  </si>
  <si>
    <t>Champignons Paris</t>
  </si>
  <si>
    <t>Crème</t>
  </si>
  <si>
    <t>Vin blc</t>
  </si>
  <si>
    <t>ESCALOPE MILANAISE</t>
  </si>
  <si>
    <t>S</t>
  </si>
  <si>
    <t>Dinde</t>
  </si>
  <si>
    <t>Chapelure</t>
  </si>
  <si>
    <t>From râpé</t>
  </si>
  <si>
    <t>Œuf frais</t>
  </si>
  <si>
    <t>H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</si>
  <si>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BASQUAISE</t>
    </r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</si>
  <si>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SETOISE</t>
    </r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</si>
  <si>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FROMAGE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</si>
  <si>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3 LEGUMES</t>
    </r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</si>
  <si>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CITRON GINGEMBRE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</si>
  <si>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TANDOORI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</si>
  <si>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TOMATE BASILIC</t>
    </r>
  </si>
  <si>
    <t xml:space="preserve">                      </t>
  </si>
  <si>
    <t>PLANCHA 2</t>
  </si>
  <si>
    <t>FRITEUSE</t>
  </si>
  <si>
    <t>Poisson du jour</t>
  </si>
  <si>
    <t>Falafell</t>
  </si>
  <si>
    <t>Calamars marinés</t>
  </si>
  <si>
    <t>Coeur de canard persillés</t>
  </si>
  <si>
    <t>Couscous comme vous l'aimez Via</t>
  </si>
  <si>
    <t>FRITES</t>
  </si>
  <si>
    <t>RIZ</t>
  </si>
  <si>
    <t>Frites</t>
  </si>
  <si>
    <t>Riz</t>
  </si>
  <si>
    <t>CONSO / CLIENT</t>
  </si>
  <si>
    <t>Conso/Client RL</t>
  </si>
  <si>
    <t>Calamar mariné</t>
  </si>
  <si>
    <t>Wok  poisson curry</t>
  </si>
  <si>
    <t>Escalope de dinde milanaise</t>
  </si>
  <si>
    <t>ECRASE DE PDT</t>
  </si>
  <si>
    <t>Wok calamar thai</t>
  </si>
  <si>
    <t>Poulet champignons</t>
  </si>
  <si>
    <t>Porc champignon gorgonzola</t>
  </si>
  <si>
    <t>Gambas</t>
  </si>
  <si>
    <t>Poulet curry ananas</t>
  </si>
  <si>
    <t>Magret de canard</t>
  </si>
  <si>
    <t>WOK 1</t>
  </si>
  <si>
    <t>POELE / WOK 2</t>
  </si>
  <si>
    <t xml:space="preserve">FOUR </t>
  </si>
  <si>
    <t>FOUR</t>
  </si>
  <si>
    <t>PLANCHA 1/ PERMANENTS</t>
  </si>
  <si>
    <t>GARNITURES FOUR</t>
  </si>
  <si>
    <t>Aiguil. basquaise</t>
  </si>
  <si>
    <t>Gratin de chou fleur</t>
  </si>
  <si>
    <t>Repartition Conso/Client R Midi VS Soir</t>
  </si>
  <si>
    <t>Aiguil. au chorizo</t>
  </si>
  <si>
    <t>Aubergines grillées</t>
  </si>
  <si>
    <t>Aiguil. 3 légumes</t>
  </si>
  <si>
    <t>Brocolis</t>
  </si>
  <si>
    <t>Lasagne bolognaise</t>
  </si>
  <si>
    <t>Vide</t>
  </si>
  <si>
    <t>Aiguil. citron gingembre</t>
  </si>
  <si>
    <t>Courgettes</t>
  </si>
  <si>
    <t>Lieu au lait de coco</t>
  </si>
  <si>
    <t>Aiguil. tomate basilic</t>
  </si>
  <si>
    <t>Parmentier de canard</t>
  </si>
  <si>
    <t>Aiguil. normande</t>
  </si>
  <si>
    <t>Carotte etouffee</t>
  </si>
  <si>
    <t>Acras de légumes</t>
  </si>
  <si>
    <t>Carottes persillées</t>
  </si>
  <si>
    <t>Saucisse lentilles</t>
  </si>
  <si>
    <t>Wok nouilles leg. croquants</t>
  </si>
  <si>
    <t>Rougail saucisse</t>
  </si>
  <si>
    <t>Aiguilette de poulet pané</t>
  </si>
  <si>
    <t>Pate carbonara</t>
  </si>
  <si>
    <t>Poisson poireaux</t>
  </si>
  <si>
    <t>Jambon porcelet</t>
  </si>
  <si>
    <t>Lentilles lardons</t>
  </si>
  <si>
    <t>Calamars basquaise</t>
  </si>
  <si>
    <t>Araignée porc braisée</t>
  </si>
  <si>
    <t>Lentilles carottes</t>
  </si>
  <si>
    <t>Epinard bechamel</t>
  </si>
  <si>
    <t>Joues de porc</t>
  </si>
  <si>
    <t>escalope de dinde champignons</t>
  </si>
  <si>
    <t>Tartiflette</t>
  </si>
  <si>
    <t>Endives roties</t>
  </si>
  <si>
    <t>Emincé magret miel</t>
  </si>
  <si>
    <t>Saute de porc moutarde</t>
  </si>
  <si>
    <t>Gratin potiron</t>
  </si>
  <si>
    <t>Flan de courgette</t>
  </si>
  <si>
    <t>Choucroute brasseur</t>
  </si>
  <si>
    <t>Croustillant boudin pommes</t>
  </si>
  <si>
    <t>Lasagne épinards féta</t>
  </si>
  <si>
    <t>Potimarron rôti ail et cumin</t>
  </si>
  <si>
    <t>Calamars oignons tomates</t>
  </si>
  <si>
    <t>Osso bucco de dinde</t>
  </si>
  <si>
    <t>Mignon porc poire roquefort</t>
  </si>
  <si>
    <t>Aubergines parmigiana</t>
  </si>
  <si>
    <t>Risotto coppa</t>
  </si>
  <si>
    <t>Recette</t>
  </si>
  <si>
    <t xml:space="preserve">Cari de porc </t>
  </si>
  <si>
    <t>Omelette aux pleurotes</t>
  </si>
  <si>
    <t>Travers de porc BBQ</t>
  </si>
  <si>
    <t>Aiguil. champignons</t>
  </si>
  <si>
    <t>Jarret de porc lentilles</t>
  </si>
  <si>
    <t>Esc de dinde tomate basilic</t>
  </si>
  <si>
    <t>Choux Bruxelles braisés</t>
  </si>
  <si>
    <t>Mignon porc pommes curry</t>
  </si>
  <si>
    <t>Flageolet GD mère</t>
  </si>
  <si>
    <t>Palette à la diable</t>
  </si>
  <si>
    <t>Carottes pruneaux</t>
  </si>
  <si>
    <t>Joue de porc</t>
  </si>
  <si>
    <t>Emincé porc indienne</t>
  </si>
  <si>
    <t>Purée de citrouille</t>
  </si>
  <si>
    <t>Andouillette cidre</t>
  </si>
  <si>
    <t>Boudin aux pommes</t>
  </si>
  <si>
    <t>Aiguil. au fromage</t>
  </si>
  <si>
    <t>Gratin de poireaux</t>
  </si>
  <si>
    <t>Poisson provencale</t>
  </si>
  <si>
    <t>Lasagne chèvre courgettes</t>
  </si>
  <si>
    <t>Gratin aux 3 légumes</t>
  </si>
  <si>
    <t>Fenouil rôtie</t>
  </si>
  <si>
    <t>Gambas whisky</t>
  </si>
  <si>
    <t>Magret pomme cidre</t>
  </si>
  <si>
    <t>Poisson poivron curry</t>
  </si>
  <si>
    <t>Croziflette</t>
  </si>
  <si>
    <t>Poulet crème Morbier</t>
  </si>
  <si>
    <t>Cordon bleu raclette</t>
  </si>
  <si>
    <t>Haricots vert persillade</t>
  </si>
  <si>
    <t>Raclette</t>
  </si>
  <si>
    <t>Risotto Gorgonzola</t>
  </si>
  <si>
    <t>Pâtes savoyarde</t>
  </si>
  <si>
    <t>Escalope dinde savoyarde</t>
  </si>
  <si>
    <t>emince porc curry</t>
  </si>
  <si>
    <t>Magret canard épices</t>
  </si>
  <si>
    <t>Pâtes ricotta lardons basilic</t>
  </si>
  <si>
    <t>Araignée de porc crumble pain d'épice</t>
  </si>
  <si>
    <t>Courge rôtie</t>
  </si>
  <si>
    <t>Echine de porc savoyarde</t>
  </si>
  <si>
    <t>Emincé boeuf roquefort</t>
  </si>
  <si>
    <t>Saumon" champagne"</t>
  </si>
  <si>
    <t>Tagliatelle de butternut</t>
  </si>
  <si>
    <t>Risotto légumes</t>
  </si>
  <si>
    <t>Boeuf Bourguignon</t>
  </si>
  <si>
    <t>Emincé porc aigre doux</t>
  </si>
  <si>
    <t xml:space="preserve">ECRASE DE PDT </t>
  </si>
  <si>
    <t>Pâtes espagnol</t>
  </si>
  <si>
    <t>Pâtes lardons poireaux</t>
  </si>
  <si>
    <t>Wok spaghetti leg. falafels</t>
  </si>
  <si>
    <t>Pates foie volaille</t>
  </si>
  <si>
    <t>Couscous falafels</t>
  </si>
  <si>
    <t>Pâtes aux cèpes</t>
  </si>
  <si>
    <t>Gratin patate douce</t>
  </si>
  <si>
    <t>Blanquette de dinde</t>
  </si>
  <si>
    <t>Aiguil. artichaut poivrade</t>
  </si>
  <si>
    <t>Cote de porc moutarde</t>
  </si>
  <si>
    <t>Poele croquante</t>
  </si>
  <si>
    <t>Sauté dinde curry</t>
  </si>
  <si>
    <t>VIDE</t>
  </si>
  <si>
    <t>Aiguil.pleurotes</t>
  </si>
  <si>
    <t>Pôtée Auvergnate</t>
  </si>
  <si>
    <t>PDT GRENAILLE</t>
  </si>
  <si>
    <t>Pates lardon courgettes</t>
  </si>
  <si>
    <t>Fish and chips</t>
  </si>
  <si>
    <t>Calamars à la romaine</t>
  </si>
  <si>
    <t>Wok poulet tandoori</t>
  </si>
  <si>
    <t>Cassoulet</t>
  </si>
  <si>
    <t>Wok boeuf légumes croquants</t>
  </si>
  <si>
    <t>Piperade</t>
  </si>
  <si>
    <t>Soja frais poêlé</t>
  </si>
  <si>
    <t>Crevette poêlées</t>
  </si>
  <si>
    <t>Calamars armoricaine</t>
  </si>
  <si>
    <t>Rougail poisson</t>
  </si>
  <si>
    <t>Endives jambon</t>
  </si>
  <si>
    <t>Boulettes viande sce tomate</t>
  </si>
  <si>
    <t>Parmentier de boeuf</t>
  </si>
  <si>
    <t>Quart de poulet sce gd mère</t>
  </si>
  <si>
    <t>PDT VAPEUR</t>
  </si>
  <si>
    <t>Poivrons oignons</t>
  </si>
  <si>
    <t>Croustillant saumon au poireau</t>
  </si>
  <si>
    <t>Mijoté pois chiche à l'Espagnol</t>
  </si>
  <si>
    <t>Araignée</t>
  </si>
  <si>
    <t>Pain d'épice</t>
  </si>
  <si>
    <t>Andouilette</t>
  </si>
  <si>
    <t>Echalotes</t>
  </si>
  <si>
    <t>Pommes</t>
  </si>
  <si>
    <t>Creme</t>
  </si>
  <si>
    <t>Cidre</t>
  </si>
  <si>
    <t>Calamars</t>
  </si>
  <si>
    <t>Bisque homard</t>
  </si>
  <si>
    <t>oignons</t>
  </si>
  <si>
    <t>Ail</t>
  </si>
  <si>
    <t>Cognac/Fumet poisson</t>
  </si>
  <si>
    <t>Tomate cerise</t>
  </si>
  <si>
    <t>Poivrons vert/rouge</t>
  </si>
  <si>
    <t>Sce Napo</t>
  </si>
  <si>
    <t>Pulco/Piment espelette</t>
  </si>
  <si>
    <t>Piment frais</t>
  </si>
  <si>
    <t>Tomates</t>
  </si>
  <si>
    <t>Basilic</t>
  </si>
  <si>
    <t>Sauce soja</t>
  </si>
  <si>
    <t>Beurre</t>
  </si>
  <si>
    <t>Oignon</t>
  </si>
  <si>
    <t>Bouillon volaille</t>
  </si>
  <si>
    <t>Sel</t>
  </si>
  <si>
    <t>Eau</t>
  </si>
  <si>
    <t>Persillade</t>
  </si>
  <si>
    <t>Coeur de canard</t>
  </si>
  <si>
    <t>Vin blanc</t>
  </si>
  <si>
    <t>Poulet blc filet</t>
  </si>
  <si>
    <t>Chapelure brune</t>
  </si>
  <si>
    <t>Poitrine fumée</t>
  </si>
  <si>
    <t>From raclette</t>
  </si>
  <si>
    <t>Huile</t>
  </si>
  <si>
    <t>Herbes de provence</t>
  </si>
  <si>
    <t>Couscous comme vous l'aimez</t>
  </si>
  <si>
    <t>Boulette de boeuf</t>
  </si>
  <si>
    <t>Poulet desossé</t>
  </si>
  <si>
    <t>Bouillon</t>
  </si>
  <si>
    <t>Crevettes</t>
  </si>
  <si>
    <t>Citron jaune</t>
  </si>
  <si>
    <t>Saumon filet</t>
  </si>
  <si>
    <t>Poireaux</t>
  </si>
  <si>
    <t>Feuille de brick</t>
  </si>
  <si>
    <t>Boudin recette campagnarde</t>
  </si>
  <si>
    <t>Porc échine</t>
  </si>
  <si>
    <t>Reblochon</t>
  </si>
  <si>
    <t>Sce Roquefort</t>
  </si>
  <si>
    <t>Magret</t>
  </si>
  <si>
    <t>Sauce miel</t>
  </si>
  <si>
    <t>Porc émincé</t>
  </si>
  <si>
    <t>Ananas</t>
  </si>
  <si>
    <t>Poivron</t>
  </si>
  <si>
    <t>Sauce aigre doux</t>
  </si>
  <si>
    <t>émincé porc</t>
  </si>
  <si>
    <t xml:space="preserve">crème liquide </t>
  </si>
  <si>
    <t>poivrons</t>
  </si>
  <si>
    <t>ananas</t>
  </si>
  <si>
    <t>Sce napo</t>
  </si>
  <si>
    <t>Madère</t>
  </si>
  <si>
    <t>escalopes de dinde</t>
  </si>
  <si>
    <t>vin blanc cuisine</t>
  </si>
  <si>
    <t>champignons</t>
  </si>
  <si>
    <t>Fromage râpée</t>
  </si>
  <si>
    <t>Oeuf</t>
  </si>
  <si>
    <t>Filet de lieu</t>
  </si>
  <si>
    <t>Pâte à frire</t>
  </si>
  <si>
    <t>Sce tartare</t>
  </si>
  <si>
    <t xml:space="preserve">gnocchis pancetta </t>
  </si>
  <si>
    <t>Gnocchi</t>
  </si>
  <si>
    <t>Champ. paris</t>
  </si>
  <si>
    <t>Tom. Cerise</t>
  </si>
  <si>
    <t>Sce Soja</t>
  </si>
  <si>
    <t>Miel</t>
  </si>
  <si>
    <t>Mélange 4 épices</t>
  </si>
  <si>
    <t>Curry</t>
  </si>
  <si>
    <t>Gingembre moulu</t>
  </si>
  <si>
    <t>Magret poivre vert</t>
  </si>
  <si>
    <t>Pois chiche</t>
  </si>
  <si>
    <t>Epinard frais</t>
  </si>
  <si>
    <t>Amandes éffilées</t>
  </si>
  <si>
    <t>Filet mignon</t>
  </si>
  <si>
    <t>Poire</t>
  </si>
  <si>
    <t>Roquefort</t>
  </si>
  <si>
    <t>Pleurotes</t>
  </si>
  <si>
    <t>Omelette Espagnole</t>
  </si>
  <si>
    <t>Chorizo</t>
  </si>
  <si>
    <t>Courgette</t>
  </si>
  <si>
    <t>Herbes</t>
  </si>
  <si>
    <t>Lieu</t>
  </si>
  <si>
    <t>Fumet poisson</t>
  </si>
  <si>
    <t>Emince porc</t>
  </si>
  <si>
    <t>Champignon</t>
  </si>
  <si>
    <t>Gorgonzola</t>
  </si>
  <si>
    <t>Fond brun</t>
  </si>
  <si>
    <t>Emince de poulet</t>
  </si>
  <si>
    <t>Noix cerneau</t>
  </si>
  <si>
    <t>Morbier</t>
  </si>
  <si>
    <t>Lait</t>
  </si>
  <si>
    <t>Poulet</t>
  </si>
  <si>
    <t>Poulet orange paprika</t>
  </si>
  <si>
    <t>Ingr1</t>
  </si>
  <si>
    <t>Q1</t>
  </si>
  <si>
    <t>Ingr2</t>
  </si>
  <si>
    <t>Q2</t>
  </si>
  <si>
    <t>Ingr3</t>
  </si>
  <si>
    <t>Q3</t>
  </si>
  <si>
    <t>Ingr4</t>
  </si>
  <si>
    <t>Q4</t>
  </si>
  <si>
    <t>Ingr5</t>
  </si>
  <si>
    <t>Q5</t>
  </si>
  <si>
    <t>Ingr6</t>
  </si>
  <si>
    <t>Q6</t>
  </si>
  <si>
    <t>Somme</t>
  </si>
  <si>
    <t>Soja frais</t>
  </si>
  <si>
    <t>Poivron rouge</t>
  </si>
  <si>
    <t>Sce soja diluée</t>
  </si>
  <si>
    <t>Saltimboca</t>
  </si>
  <si>
    <t>From. mozza</t>
  </si>
  <si>
    <t>Vin blc cuisine</t>
  </si>
  <si>
    <t>Nouille</t>
  </si>
  <si>
    <t>Poivron vert/rouge</t>
  </si>
  <si>
    <t>Pois gourmand</t>
  </si>
  <si>
    <t>Pousse bambou</t>
  </si>
  <si>
    <t>Champ. noirs</t>
  </si>
  <si>
    <t>Riz carnoli CUIT (2kg pour 1,6L)</t>
  </si>
  <si>
    <t>Creme culinaire</t>
  </si>
  <si>
    <t>Base bouillon</t>
  </si>
  <si>
    <t>Risotto poulet</t>
  </si>
  <si>
    <t>Emincé de poulet</t>
  </si>
  <si>
    <t>cote de porc</t>
  </si>
  <si>
    <t>moutarde à l'ancienne</t>
  </si>
  <si>
    <t>crème liquide</t>
  </si>
  <si>
    <t>escalope de dinde fromage</t>
  </si>
  <si>
    <t>escalope de dinde</t>
  </si>
  <si>
    <t>munster</t>
  </si>
  <si>
    <t>vin blanc</t>
  </si>
  <si>
    <t>Araignée porc</t>
  </si>
  <si>
    <t xml:space="preserve">Porc sauté </t>
  </si>
  <si>
    <t>Curry - Cumin</t>
  </si>
  <si>
    <t>Pulco- vin blc</t>
  </si>
  <si>
    <t>Créman</t>
  </si>
  <si>
    <t>endives</t>
  </si>
  <si>
    <t>beurre</t>
  </si>
  <si>
    <t>Aubergine</t>
  </si>
  <si>
    <t>Huile olive</t>
  </si>
  <si>
    <t>Persil</t>
  </si>
  <si>
    <t>Ing</t>
  </si>
  <si>
    <t>bite</t>
  </si>
  <si>
    <t>Parmesan</t>
  </si>
  <si>
    <t>Boeuf VF bourguignon</t>
  </si>
  <si>
    <t>Oignon blc</t>
  </si>
  <si>
    <t>Lardons</t>
  </si>
  <si>
    <t>Chaire à saucisse</t>
  </si>
  <si>
    <t>Boeuf haché</t>
  </si>
  <si>
    <t>Dinde sauté</t>
  </si>
  <si>
    <t>Blanquette de veau</t>
  </si>
  <si>
    <t>Veau sauté épaule</t>
  </si>
  <si>
    <t>Thym/laurier</t>
  </si>
  <si>
    <t>Boudin noir</t>
  </si>
  <si>
    <t>Pommes Golden</t>
  </si>
  <si>
    <t>Calamar basquaise</t>
  </si>
  <si>
    <t xml:space="preserve">Encornet </t>
  </si>
  <si>
    <t>Tomate</t>
  </si>
  <si>
    <t>Poivron R/V</t>
  </si>
  <si>
    <t>Ail et piment</t>
  </si>
  <si>
    <t>Concassé</t>
  </si>
  <si>
    <t>Caponata</t>
  </si>
  <si>
    <t>Poivon RV</t>
  </si>
  <si>
    <t>Tomate concassé</t>
  </si>
  <si>
    <t>Olives verte</t>
  </si>
  <si>
    <t>Porc sauté</t>
  </si>
  <si>
    <t>Curcuma</t>
  </si>
  <si>
    <t>Gingembre frais</t>
  </si>
  <si>
    <t>Thym</t>
  </si>
  <si>
    <t>Pruneaux</t>
  </si>
  <si>
    <t>Haricot blc</t>
  </si>
  <si>
    <t>Canard manchon</t>
  </si>
  <si>
    <t>Saucisse Toulouse</t>
  </si>
  <si>
    <t>Saucisson ail fumé</t>
  </si>
  <si>
    <t>Choucroute cuite</t>
  </si>
  <si>
    <t>Porc palette</t>
  </si>
  <si>
    <t>Saucisse francfort</t>
  </si>
  <si>
    <t>Saucisse fumée</t>
  </si>
  <si>
    <t>Choux Bruxelles</t>
  </si>
  <si>
    <t>Bouillon de volaille</t>
  </si>
  <si>
    <t>Courge</t>
  </si>
  <si>
    <t>Romarin</t>
  </si>
  <si>
    <t>Semoule</t>
  </si>
  <si>
    <t>Navet</t>
  </si>
  <si>
    <t>Aubergines</t>
  </si>
  <si>
    <t>Flafels</t>
  </si>
  <si>
    <t>Leg couscous</t>
  </si>
  <si>
    <t>Merguez</t>
  </si>
  <si>
    <t>Crozets natures</t>
  </si>
  <si>
    <t>Lardons fumés</t>
  </si>
  <si>
    <t>Fenouil</t>
  </si>
  <si>
    <t>Sucre</t>
  </si>
  <si>
    <t>Endives</t>
  </si>
  <si>
    <t>Emmental</t>
  </si>
  <si>
    <t>Jambon sec</t>
  </si>
  <si>
    <t>Sce béchamel</t>
  </si>
  <si>
    <t>sucre</t>
  </si>
  <si>
    <t>Flageolet</t>
  </si>
  <si>
    <t>Muscade</t>
  </si>
  <si>
    <t>Pdt</t>
  </si>
  <si>
    <t>Béchamel</t>
  </si>
  <si>
    <t>Estrèmo</t>
  </si>
  <si>
    <t>Chou fleur</t>
  </si>
  <si>
    <t>Poireau</t>
  </si>
  <si>
    <t>Patate douce</t>
  </si>
  <si>
    <t>Potiron</t>
  </si>
  <si>
    <t>Jambon CHX</t>
  </si>
  <si>
    <t>Fond braisage</t>
  </si>
  <si>
    <t>Jarreton</t>
  </si>
  <si>
    <t>Bière</t>
  </si>
  <si>
    <t>Lentilles</t>
  </si>
  <si>
    <t>Clous de girofle</t>
  </si>
  <si>
    <t>Porc noix joue</t>
  </si>
  <si>
    <t>Lasagne</t>
  </si>
  <si>
    <t>Sce bolognaise</t>
  </si>
  <si>
    <t>Pâte lasagne</t>
  </si>
  <si>
    <t>Chèvre buche</t>
  </si>
  <si>
    <t>Lait de coco</t>
  </si>
  <si>
    <t>Sce soja</t>
  </si>
  <si>
    <t>Sésame</t>
  </si>
  <si>
    <t>Osso bucco</t>
  </si>
  <si>
    <t>Oignon filet</t>
  </si>
  <si>
    <t>Sce diable</t>
  </si>
  <si>
    <t>Ecrasé pdt</t>
  </si>
  <si>
    <t>Pdt aguata</t>
  </si>
  <si>
    <t>Effiloché de canard</t>
  </si>
  <si>
    <t>Poivron R</t>
  </si>
  <si>
    <t>Poivron V</t>
  </si>
  <si>
    <t>Piment doux</t>
  </si>
  <si>
    <t>Pot au feu</t>
  </si>
  <si>
    <t>Bœuf paleron</t>
  </si>
  <si>
    <t>Celeri branche</t>
  </si>
  <si>
    <t>Bqt garni</t>
  </si>
  <si>
    <t> </t>
  </si>
  <si>
    <t>Chou vert</t>
  </si>
  <si>
    <t>Potimarron</t>
  </si>
  <si>
    <t>Cumin</t>
  </si>
  <si>
    <t>Huile d'olive</t>
  </si>
  <si>
    <t>Poulet jaune PAC</t>
  </si>
  <si>
    <t>Aide à rôtir</t>
  </si>
  <si>
    <t>Sce gd mère</t>
  </si>
  <si>
    <t>Poisson</t>
  </si>
  <si>
    <t xml:space="preserve">Tomate  </t>
  </si>
  <si>
    <t>Poivron rge/vert</t>
  </si>
  <si>
    <t>Gingembre</t>
  </si>
  <si>
    <t>Ail / Paprika / Gingembre</t>
  </si>
  <si>
    <t>Sauté de boeuf provencal</t>
  </si>
  <si>
    <t>Boeuf sauté</t>
  </si>
  <si>
    <t>Olives noires</t>
  </si>
  <si>
    <t>Moutarde à l'ancienne</t>
  </si>
  <si>
    <t>Vin cuisine blc</t>
  </si>
  <si>
    <t>Curry gold</t>
  </si>
  <si>
    <t>Rosette</t>
  </si>
  <si>
    <t>Jambon blc</t>
  </si>
  <si>
    <t>Champ., oignons, tomates</t>
  </si>
  <si>
    <t>Porc travers</t>
  </si>
  <si>
    <t>Aiguillettes</t>
  </si>
  <si>
    <t>Artichaud</t>
  </si>
  <si>
    <t>Vinaigre</t>
  </si>
  <si>
    <t>Munster</t>
  </si>
  <si>
    <t>Lait coco</t>
  </si>
  <si>
    <t>Pomme</t>
  </si>
  <si>
    <t>Calvados</t>
  </si>
  <si>
    <t>Aiguil. tandoori</t>
  </si>
  <si>
    <t>Epice tandoori</t>
  </si>
  <si>
    <t>Sauce napo</t>
  </si>
  <si>
    <t>Marinade</t>
  </si>
  <si>
    <t>Whisky</t>
  </si>
  <si>
    <t>Nouilles sauté</t>
  </si>
  <si>
    <t>Paella</t>
  </si>
  <si>
    <t>Pâtes cuites</t>
  </si>
  <si>
    <t>Cèpes désydratés</t>
  </si>
  <si>
    <t>Pates au saumon</t>
  </si>
  <si>
    <t>Pates BDV Champi</t>
  </si>
  <si>
    <t>Pates capraise</t>
  </si>
  <si>
    <t>Pates flamandes</t>
  </si>
  <si>
    <t>Dinde foie</t>
  </si>
  <si>
    <t>Xeres</t>
  </si>
  <si>
    <t>Pates moules tomates</t>
  </si>
  <si>
    <t>Pates primavera</t>
  </si>
  <si>
    <t>Ricotta</t>
  </si>
  <si>
    <t xml:space="preserve">Riz carnoli  </t>
  </si>
  <si>
    <t>Champ. Paris</t>
  </si>
  <si>
    <t>Butternut</t>
  </si>
  <si>
    <t>Boeuf</t>
  </si>
  <si>
    <t>Poisson blanc</t>
  </si>
  <si>
    <t>Courgette / Carotte</t>
  </si>
  <si>
    <t>Farine</t>
  </si>
  <si>
    <t>Poulet émincé</t>
  </si>
  <si>
    <t>Nouille aux oeufs</t>
  </si>
  <si>
    <t>Sel / Epice thai</t>
  </si>
  <si>
    <t>Citron</t>
  </si>
  <si>
    <t>Spaghetti</t>
  </si>
  <si>
    <t>Falafels</t>
  </si>
  <si>
    <t xml:space="preserve">haricots vert </t>
  </si>
  <si>
    <t>ai</t>
  </si>
  <si>
    <t>courg</t>
  </si>
  <si>
    <t>carot</t>
  </si>
  <si>
    <t>creme</t>
  </si>
  <si>
    <t>Lamelle encornet</t>
  </si>
  <si>
    <t>Poivron Oignon</t>
  </si>
  <si>
    <t>Araignée de porc</t>
  </si>
  <si>
    <t>Poitrine de porc</t>
  </si>
  <si>
    <t>Chippolatas</t>
  </si>
  <si>
    <t>Aubergines persillées</t>
  </si>
  <si>
    <t>Lomo de porc</t>
  </si>
  <si>
    <t>Aiguilette</t>
  </si>
  <si>
    <t>Tandoori</t>
  </si>
  <si>
    <t>Panko</t>
  </si>
  <si>
    <t>Falafel</t>
  </si>
  <si>
    <t>Levure</t>
  </si>
  <si>
    <t>Beignet calamars</t>
  </si>
  <si>
    <t>LEG SALADE VERTE</t>
  </si>
  <si>
    <t>LEG FRITES</t>
  </si>
  <si>
    <t>LEG PDT VAPEUR SAUCE CIBOULETTE</t>
  </si>
  <si>
    <t>LEG ECRASE PDT CORIANDRE CUMIN</t>
  </si>
  <si>
    <t>LEG ECRASE PDT HERBES FRAICHES</t>
  </si>
  <si>
    <t>LEG RIZ PILAF SAUVAGE</t>
  </si>
  <si>
    <t>LEG RIZ BASMATI</t>
  </si>
  <si>
    <t>LEG RIZ PILAF</t>
  </si>
  <si>
    <t>LEG CAROTTES ETOUFFEE</t>
  </si>
  <si>
    <t>LEG HARICOTS VERTS PERSILLES</t>
  </si>
  <si>
    <t>LEG CHOU FLEUR VAPEUR</t>
  </si>
  <si>
    <t>LEG ACRAS LEGUMES</t>
  </si>
  <si>
    <t>LEG FLAGEOLETS GRAND MERE</t>
  </si>
  <si>
    <t>LEG GRATIN DAUPHINOIS</t>
  </si>
  <si>
    <t>LEG POTATOES MAISON</t>
  </si>
  <si>
    <t>LEG ENDIVES BRAISEES</t>
  </si>
  <si>
    <t>LEG PIPERADE</t>
  </si>
  <si>
    <t>LEG LEGUMES AUX EPICES</t>
  </si>
  <si>
    <t>LEG TOMATES PROVENCALES</t>
  </si>
  <si>
    <t>LEG EPINARDS A LA BECHAMEL</t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</si>
  <si>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BASQUAISE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</si>
  <si>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POMME ET CIDRE</t>
    </r>
  </si>
  <si>
    <t>Coriandre</t>
  </si>
  <si>
    <t>Paprika</t>
  </si>
  <si>
    <t>LEG PATES CHAMPIGNONS</t>
  </si>
  <si>
    <t>LEG TIAN DE LEGUMES</t>
  </si>
  <si>
    <t>LEG GRATIN DE CHOU-FLEUR</t>
  </si>
  <si>
    <t>LEG POLENTA</t>
  </si>
  <si>
    <t>LEG SOJA FRAIS POELE</t>
  </si>
  <si>
    <t>LEG CAROTTES PERSILLADES</t>
  </si>
  <si>
    <t>LEG ACRAS OIGNON MOUTARDE</t>
  </si>
  <si>
    <t>Désignation</t>
  </si>
  <si>
    <t>Référence</t>
  </si>
  <si>
    <t>LEG BEIGNET LEGUME</t>
  </si>
  <si>
    <t>LEG CAROTTES AUX PRUNEAUX</t>
  </si>
  <si>
    <t>LEG CELERI BRANCHE SAUTE</t>
  </si>
  <si>
    <t>LEG CHOU VERT BRAISE</t>
  </si>
  <si>
    <t>LEG CHOUX BRUXELLES BRAISES</t>
  </si>
  <si>
    <t>LEG COURGETTES POELEES</t>
  </si>
  <si>
    <t>LEG COUSCOUS SEMOULE</t>
  </si>
  <si>
    <t>LEG CRUMBLE SALE AUX TOMATES</t>
  </si>
  <si>
    <t>LEG RIZ THAI</t>
  </si>
  <si>
    <t>LEG ECRASE POTIRON</t>
  </si>
  <si>
    <t>LEG ECRASEE DE PDT AUX HERBES FRAICHES</t>
  </si>
  <si>
    <t>LEG FENOUIL SAUTE</t>
  </si>
  <si>
    <t>LEG FLAN COURGETTES TOMATES</t>
  </si>
  <si>
    <t>LEG FRITES FRAICHES MAISON</t>
  </si>
  <si>
    <t>LEG GRATIN DE PATATES DOUCES</t>
  </si>
  <si>
    <t>LEG GRATIN DE POIREAUX</t>
  </si>
  <si>
    <t>LEG GRATIN DE POTIRON</t>
  </si>
  <si>
    <t>LEG LENTILLES LARDONS OIGNONS</t>
  </si>
  <si>
    <t>LEG PATES PESTO</t>
  </si>
  <si>
    <t>LEG PATES SAUCE TOMATE</t>
  </si>
  <si>
    <t>LEG PDT SAUTEES</t>
  </si>
  <si>
    <t>LEG PETITS POIS CAMPAGNARDS</t>
  </si>
  <si>
    <t>LEG POIVRONS POELES A L'AIL</t>
  </si>
  <si>
    <t>LEG PUREE</t>
  </si>
  <si>
    <t>LEG PUREE A LA CITROUILLE</t>
  </si>
  <si>
    <t>LEG RAGOUT HARICOTS LINGOTS</t>
  </si>
  <si>
    <t>LEG RATATOUILLE</t>
  </si>
  <si>
    <t>LEG RIZ CANTONAIS</t>
  </si>
  <si>
    <t>LEG RIZ MADRAS</t>
  </si>
  <si>
    <t>LEG SALSIFIS AU CUMIN</t>
  </si>
  <si>
    <t>LEG SPAETZLES</t>
  </si>
  <si>
    <t>LEG ACCRAS</t>
  </si>
  <si>
    <t>LEG ACCRAS OIGNON MOUTARDE</t>
  </si>
  <si>
    <t>LEG BEIGNETS LEGUMES</t>
  </si>
  <si>
    <t>LEG CUISSON RIZ THAI</t>
  </si>
  <si>
    <t>LEG ECRASE CAROTTES</t>
  </si>
  <si>
    <t>LEG ECRASE PATATES DOUCES</t>
  </si>
  <si>
    <t>LEG ECRASE POTIRON AUX MARRONS</t>
  </si>
  <si>
    <t>LEG PDT SAUCE CIBOULETTE</t>
  </si>
  <si>
    <t>LEG POELEE CROQUANTE COURGETTE CAROTTE</t>
  </si>
  <si>
    <t>LEG RIZ PILAF DUO</t>
  </si>
  <si>
    <t>Poisson à l'armoricaine</t>
  </si>
  <si>
    <t>Sce armoricaine</t>
  </si>
  <si>
    <t>Lieu chermouna</t>
  </si>
  <si>
    <t>Aigui. curry ananas</t>
  </si>
  <si>
    <t>Celeri branche sauté</t>
  </si>
  <si>
    <t>Boulettes viande champ. Moutarde</t>
  </si>
  <si>
    <t>Moutarde ancienne</t>
  </si>
  <si>
    <t>Chou farci</t>
  </si>
  <si>
    <t>Chou vert frisé</t>
  </si>
  <si>
    <t>Chair à saucisse</t>
  </si>
  <si>
    <t>Pain</t>
  </si>
  <si>
    <t>Œuf</t>
  </si>
  <si>
    <t>Moutarde</t>
  </si>
  <si>
    <t xml:space="preserve">Tomate </t>
  </si>
  <si>
    <t>Poisson vin blanc</t>
  </si>
  <si>
    <t>Poisson à l'indienne</t>
  </si>
  <si>
    <t>Ail, oignon</t>
  </si>
  <si>
    <t>Poisson courgettes</t>
  </si>
  <si>
    <t>Rognon moutarde champignons</t>
  </si>
  <si>
    <t>Porc rognon</t>
  </si>
  <si>
    <t>Fd brun</t>
  </si>
  <si>
    <t>Mout. À l'ancienne</t>
  </si>
  <si>
    <t>emince porc curry ananas</t>
  </si>
  <si>
    <t>Longe de porc braisée</t>
  </si>
  <si>
    <t>Porc longe</t>
  </si>
  <si>
    <t>Sauté de porc pruneaux</t>
  </si>
  <si>
    <t>Porc émincé épaule</t>
  </si>
  <si>
    <t>Sauté bœuf bière</t>
  </si>
  <si>
    <t>Bœuf sauté bourgui.</t>
  </si>
  <si>
    <t>Poulet mafé</t>
  </si>
  <si>
    <t>Poulet sauté</t>
  </si>
  <si>
    <t>Beurre cacahuetes</t>
  </si>
  <si>
    <t>Epices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</si>
</sst>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"/>
    <numFmt numFmtId="165" formatCode="0.000"/>
    <numFmt numFmtId="166" formatCode="0.0"/>
    <numFmt numFmtId="167" formatCode="d&quot; &quot;"/>
    <numFmt numFmtId="168" formatCode="0&quot;kg&quot;"/>
    <numFmt numFmtId="169" formatCode="0.000&quot;kg&quot;"/>
    <numFmt numFmtId="170" formatCode="000&quot;GR&quot;"/>
  </numFmts>
  <fonts count="5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Arimo"/>
    </font>
    <font>
      <b/>
      <sz val="16"/>
      <color theme="1"/>
      <name val="Arimo"/>
    </font>
    <font>
      <sz val="10"/>
      <color theme="1"/>
      <name val="Arimo"/>
    </font>
    <font>
      <b/>
      <sz val="14"/>
      <color rgb="FFFF0000"/>
      <name val="Arimo"/>
    </font>
    <font>
      <sz val="14"/>
      <color theme="1"/>
      <name val="Arimo"/>
    </font>
    <font>
      <b/>
      <sz val="12"/>
      <color theme="1"/>
      <name val="Arimo"/>
    </font>
    <font>
      <sz val="12"/>
      <color theme="1"/>
      <name val="Arimo"/>
    </font>
    <font>
      <b/>
      <sz val="10"/>
      <color theme="1"/>
      <name val="Arimo"/>
    </font>
    <font>
      <b/>
      <sz val="14"/>
      <color theme="1"/>
      <name val="Arimo"/>
    </font>
    <font>
      <sz val="11"/>
      <name val="Calibri"/>
      <family val="2"/>
    </font>
    <font>
      <b/>
      <sz val="14"/>
      <color theme="0"/>
      <name val="Arimo"/>
    </font>
    <font>
      <sz val="10"/>
      <color rgb="FF0000FF"/>
      <name val="Arimo"/>
    </font>
    <font>
      <b/>
      <sz val="10"/>
      <color rgb="FF0000FF"/>
      <name val="Arimo"/>
    </font>
    <font>
      <b/>
      <sz val="12"/>
      <color rgb="FFFFFF00"/>
      <name val="Arimo"/>
    </font>
    <font>
      <b/>
      <sz val="12"/>
      <color theme="0"/>
      <name val="Arimo"/>
    </font>
    <font>
      <b/>
      <sz val="14"/>
      <color theme="1"/>
      <name val="Calibri"/>
      <family val="2"/>
    </font>
    <font>
      <b/>
      <sz val="12"/>
      <color rgb="FFFF0000"/>
      <name val="Arimo"/>
    </font>
    <font>
      <b/>
      <sz val="14"/>
      <color rgb="FFFF0000"/>
      <name val="Calibri"/>
      <family val="2"/>
    </font>
    <font>
      <sz val="10"/>
      <color rgb="FF000000"/>
      <name val="Arimo"/>
    </font>
    <font>
      <sz val="11"/>
      <color theme="1"/>
      <name val="Arimo"/>
    </font>
    <font>
      <sz val="10"/>
      <color rgb="FFFF0000"/>
      <name val="Arimo"/>
    </font>
    <font>
      <sz val="10"/>
      <color rgb="FF000000"/>
      <name val="Calibri"/>
      <family val="2"/>
    </font>
    <font>
      <b/>
      <sz val="10"/>
      <color rgb="FF000000"/>
      <name val="Arimo"/>
    </font>
    <font>
      <b/>
      <sz val="10"/>
      <color theme="0"/>
      <name val="Arimo"/>
    </font>
    <font>
      <sz val="11"/>
      <color rgb="FF000000"/>
      <name val="Arimo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4"/>
      <color rgb="FFFFFFFF"/>
      <name val="Arimo"/>
    </font>
    <font>
      <b/>
      <sz val="21"/>
      <color rgb="FFFFFFFF"/>
      <name val="Arimo"/>
    </font>
    <font>
      <b/>
      <sz val="21"/>
      <color rgb="FF000000"/>
      <name val="Arimo"/>
    </font>
    <font>
      <b/>
      <sz val="11"/>
      <color theme="1"/>
      <name val="Arimo"/>
    </font>
    <font>
      <b/>
      <sz val="11"/>
      <color rgb="FFFFFFFF"/>
      <name val="Arimo"/>
    </font>
    <font>
      <b/>
      <sz val="15"/>
      <color rgb="FF000000"/>
      <name val="Calibri"/>
      <family val="2"/>
    </font>
    <font>
      <b/>
      <sz val="15"/>
      <color rgb="FF000000"/>
      <name val="Arimo"/>
    </font>
    <font>
      <b/>
      <sz val="15"/>
      <color rgb="FFFFFFFF"/>
      <name val="Arimo"/>
    </font>
    <font>
      <sz val="13"/>
      <color rgb="FF000000"/>
      <name val="Arimo"/>
    </font>
    <font>
      <sz val="12"/>
      <color rgb="FF000000"/>
      <name val="Arimo"/>
    </font>
    <font>
      <sz val="15"/>
      <color rgb="FF000000"/>
      <name val="Arimo"/>
    </font>
    <font>
      <b/>
      <sz val="11"/>
      <color rgb="FF000000"/>
      <name val="Arimo"/>
    </font>
    <font>
      <b/>
      <sz val="11"/>
      <color rgb="FFFF0000"/>
      <name val="Arimo"/>
    </font>
    <font>
      <sz val="14"/>
      <color rgb="FF000000"/>
      <name val="Arimo"/>
    </font>
    <font>
      <sz val="11"/>
      <color rgb="FFFFFFFF"/>
      <name val="Arimo"/>
    </font>
    <font>
      <sz val="11"/>
      <color theme="1"/>
      <name val="Calibri"/>
      <family val="2"/>
    </font>
    <font>
      <sz val="11"/>
      <color theme="1"/>
      <name val="Geneva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rgb="FF000000"/>
      <name val="Geneva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2"/>
      <color rgb="FFFF0000"/>
      <name val="Geneva"/>
    </font>
    <font>
      <b/>
      <sz val="11"/>
      <name val="Arimo"/>
    </font>
  </fonts>
  <fills count="4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A5A5A5"/>
        <bgColor rgb="FFA5A5A5"/>
      </patternFill>
    </fill>
    <fill>
      <patternFill patternType="solid">
        <fgColor rgb="FF7F7F7F"/>
        <bgColor rgb="FF7F7F7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66FFFF"/>
        <bgColor rgb="FF66FFFF"/>
      </patternFill>
    </fill>
    <fill>
      <patternFill patternType="solid">
        <fgColor rgb="FFFFFF99"/>
        <bgColor rgb="FFFFFF99"/>
      </patternFill>
    </fill>
    <fill>
      <patternFill patternType="solid">
        <fgColor rgb="FFCCFFCC"/>
        <bgColor rgb="FFCCFFCC"/>
      </patternFill>
    </fill>
    <fill>
      <patternFill patternType="solid">
        <fgColor theme="1"/>
        <bgColor theme="1"/>
      </patternFill>
    </fill>
    <fill>
      <patternFill patternType="solid">
        <fgColor rgb="FFFF9900"/>
        <bgColor rgb="FFFF9900"/>
      </patternFill>
    </fill>
    <fill>
      <patternFill patternType="solid">
        <fgColor rgb="FF999999"/>
        <bgColor rgb="FF999999"/>
      </patternFill>
    </fill>
    <fill>
      <patternFill patternType="solid">
        <fgColor rgb="FF93C47D"/>
        <bgColor rgb="FF93C47D"/>
      </patternFill>
    </fill>
    <fill>
      <patternFill patternType="solid">
        <fgColor rgb="FFFFFFFF"/>
        <bgColor rgb="FFFFFFFF"/>
      </patternFill>
    </fill>
    <fill>
      <patternFill patternType="solid">
        <fgColor rgb="FFF1C232"/>
        <bgColor rgb="FFF1C232"/>
      </patternFill>
    </fill>
    <fill>
      <patternFill patternType="solid">
        <fgColor rgb="FFFF00FF"/>
        <bgColor rgb="FFFF00FF"/>
      </patternFill>
    </fill>
    <fill>
      <patternFill patternType="solid">
        <fgColor rgb="FF00B0F0"/>
        <bgColor rgb="FF00B0F0"/>
      </patternFill>
    </fill>
    <fill>
      <patternFill patternType="solid">
        <fgColor rgb="FFE69138"/>
        <bgColor rgb="FFE69138"/>
      </patternFill>
    </fill>
    <fill>
      <patternFill patternType="solid">
        <fgColor theme="6"/>
        <bgColor theme="6"/>
      </patternFill>
    </fill>
    <fill>
      <patternFill patternType="solid">
        <fgColor rgb="FF92D050"/>
        <bgColor rgb="FF92D050"/>
      </patternFill>
    </fill>
    <fill>
      <patternFill patternType="solid">
        <fgColor rgb="FFFABF8F"/>
        <bgColor rgb="FFFABF8F"/>
      </patternFill>
    </fill>
    <fill>
      <patternFill patternType="solid">
        <fgColor rgb="FFFFCC99"/>
        <bgColor rgb="FFFFCC99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rgb="FFFFFFFF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rgb="FFFFFF00"/>
      </patternFill>
    </fill>
    <fill>
      <patternFill patternType="solid">
        <fgColor rgb="FF92D050"/>
        <bgColor rgb="FFFFFFFF"/>
      </patternFill>
    </fill>
    <fill>
      <patternFill patternType="solid">
        <fgColor theme="2"/>
        <bgColor rgb="FFFF00FF"/>
      </patternFill>
    </fill>
    <fill>
      <patternFill patternType="solid">
        <fgColor theme="0" tint="-0.34998626667073579"/>
        <bgColor rgb="FFA5A5A5"/>
      </patternFill>
    </fill>
    <fill>
      <patternFill patternType="solid">
        <fgColor rgb="FF00B0F0"/>
        <bgColor rgb="FFFFFFFF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996633"/>
        <bgColor indexed="64"/>
      </patternFill>
    </fill>
    <fill>
      <patternFill patternType="solid">
        <fgColor rgb="FFFF0000"/>
        <bgColor rgb="FFF1C232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rgb="FFFFFFFF"/>
      </patternFill>
    </fill>
    <fill>
      <patternFill patternType="solid">
        <fgColor rgb="FFFF0000"/>
        <bgColor rgb="FFFF00FF"/>
      </patternFill>
    </fill>
  </fills>
  <borders count="58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74">
    <xf numFmtId="0" fontId="0" fillId="0" borderId="0" xfId="0"/>
    <xf numFmtId="164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8" fillId="3" borderId="1" xfId="0" applyFont="1" applyFill="1" applyBorder="1" applyAlignment="1">
      <alignment vertical="center" wrapText="1"/>
    </xf>
    <xf numFmtId="0" fontId="10" fillId="0" borderId="0" xfId="0" applyFont="1" applyAlignment="1">
      <alignment vertical="center"/>
    </xf>
    <xf numFmtId="0" fontId="8" fillId="3" borderId="2" xfId="0" applyFont="1" applyFill="1" applyBorder="1" applyAlignment="1">
      <alignment vertical="center" wrapText="1"/>
    </xf>
    <xf numFmtId="0" fontId="10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4" xfId="0" applyFont="1" applyBorder="1" applyAlignment="1">
      <alignment vertical="center"/>
    </xf>
    <xf numFmtId="9" fontId="5" fillId="8" borderId="1" xfId="0" applyNumberFormat="1" applyFont="1" applyFill="1" applyBorder="1" applyAlignment="1">
      <alignment vertical="center"/>
    </xf>
    <xf numFmtId="1" fontId="5" fillId="0" borderId="5" xfId="0" applyNumberFormat="1" applyFont="1" applyBorder="1" applyAlignment="1">
      <alignment vertical="center"/>
    </xf>
    <xf numFmtId="1" fontId="5" fillId="9" borderId="1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10" borderId="10" xfId="0" applyFont="1" applyFill="1" applyBorder="1" applyAlignment="1">
      <alignment vertical="center"/>
    </xf>
    <xf numFmtId="9" fontId="5" fillId="10" borderId="11" xfId="0" applyNumberFormat="1" applyFont="1" applyFill="1" applyBorder="1" applyAlignment="1">
      <alignment vertical="center"/>
    </xf>
    <xf numFmtId="1" fontId="5" fillId="0" borderId="16" xfId="0" applyNumberFormat="1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1" fontId="5" fillId="0" borderId="17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18" xfId="0" applyFont="1" applyBorder="1" applyAlignment="1">
      <alignment vertical="center"/>
    </xf>
    <xf numFmtId="165" fontId="5" fillId="0" borderId="0" xfId="0" applyNumberFormat="1" applyFont="1"/>
    <xf numFmtId="165" fontId="21" fillId="0" borderId="0" xfId="0" applyNumberFormat="1" applyFont="1"/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165" fontId="24" fillId="0" borderId="0" xfId="0" applyNumberFormat="1" applyFont="1" applyAlignment="1">
      <alignment vertical="center"/>
    </xf>
    <xf numFmtId="0" fontId="22" fillId="0" borderId="0" xfId="0" applyFont="1" applyAlignment="1">
      <alignment horizontal="center"/>
    </xf>
    <xf numFmtId="0" fontId="22" fillId="0" borderId="0" xfId="0" applyFont="1"/>
    <xf numFmtId="165" fontId="21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right" vertical="center"/>
    </xf>
    <xf numFmtId="165" fontId="21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165" fontId="21" fillId="0" borderId="0" xfId="0" applyNumberFormat="1" applyFont="1" applyAlignment="1">
      <alignment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165" fontId="5" fillId="0" borderId="0" xfId="0" applyNumberFormat="1" applyFont="1" applyAlignment="1">
      <alignment vertical="center"/>
    </xf>
    <xf numFmtId="0" fontId="10" fillId="2" borderId="25" xfId="0" applyFont="1" applyFill="1" applyBorder="1" applyAlignment="1">
      <alignment horizontal="center" vertical="center"/>
    </xf>
    <xf numFmtId="0" fontId="29" fillId="0" borderId="0" xfId="0" applyFont="1"/>
    <xf numFmtId="167" fontId="33" fillId="0" borderId="26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9" fontId="38" fillId="8" borderId="1" xfId="0" applyNumberFormat="1" applyFont="1" applyFill="1" applyBorder="1" applyAlignment="1">
      <alignment vertical="center"/>
    </xf>
    <xf numFmtId="168" fontId="38" fillId="0" borderId="5" xfId="0" applyNumberFormat="1" applyFont="1" applyBorder="1" applyAlignment="1">
      <alignment vertical="center"/>
    </xf>
    <xf numFmtId="168" fontId="39" fillId="9" borderId="1" xfId="0" applyNumberFormat="1" applyFont="1" applyFill="1" applyBorder="1" applyAlignment="1">
      <alignment horizontal="center" vertical="center"/>
    </xf>
    <xf numFmtId="9" fontId="39" fillId="8" borderId="1" xfId="0" applyNumberFormat="1" applyFont="1" applyFill="1" applyBorder="1" applyAlignment="1">
      <alignment vertical="center"/>
    </xf>
    <xf numFmtId="168" fontId="39" fillId="0" borderId="5" xfId="0" applyNumberFormat="1" applyFont="1" applyBorder="1" applyAlignment="1">
      <alignment vertical="center"/>
    </xf>
    <xf numFmtId="9" fontId="40" fillId="8" borderId="1" xfId="0" applyNumberFormat="1" applyFont="1" applyFill="1" applyBorder="1" applyAlignment="1">
      <alignment vertical="center"/>
    </xf>
    <xf numFmtId="168" fontId="40" fillId="0" borderId="5" xfId="0" applyNumberFormat="1" applyFont="1" applyBorder="1" applyAlignment="1">
      <alignment vertical="center"/>
    </xf>
    <xf numFmtId="168" fontId="40" fillId="9" borderId="1" xfId="0" applyNumberFormat="1" applyFont="1" applyFill="1" applyBorder="1" applyAlignment="1">
      <alignment horizontal="center" vertical="center"/>
    </xf>
    <xf numFmtId="9" fontId="40" fillId="0" borderId="5" xfId="0" applyNumberFormat="1" applyFont="1" applyBorder="1" applyAlignment="1">
      <alignment vertical="center"/>
    </xf>
    <xf numFmtId="0" fontId="22" fillId="9" borderId="2" xfId="0" applyFont="1" applyFill="1" applyBorder="1" applyAlignment="1">
      <alignment vertical="center"/>
    </xf>
    <xf numFmtId="0" fontId="22" fillId="9" borderId="7" xfId="0" applyFont="1" applyFill="1" applyBorder="1" applyAlignment="1">
      <alignment vertical="center"/>
    </xf>
    <xf numFmtId="0" fontId="38" fillId="0" borderId="9" xfId="0" applyFont="1" applyBorder="1" applyAlignment="1">
      <alignment vertical="center"/>
    </xf>
    <xf numFmtId="0" fontId="39" fillId="0" borderId="9" xfId="0" applyFont="1" applyBorder="1" applyAlignment="1">
      <alignment vertical="center"/>
    </xf>
    <xf numFmtId="0" fontId="40" fillId="0" borderId="9" xfId="0" applyFont="1" applyBorder="1" applyAlignment="1">
      <alignment vertical="center"/>
    </xf>
    <xf numFmtId="168" fontId="38" fillId="0" borderId="16" xfId="0" applyNumberFormat="1" applyFont="1" applyBorder="1" applyAlignment="1">
      <alignment vertical="center"/>
    </xf>
    <xf numFmtId="1" fontId="39" fillId="0" borderId="17" xfId="0" applyNumberFormat="1" applyFont="1" applyBorder="1" applyAlignment="1">
      <alignment vertical="center"/>
    </xf>
    <xf numFmtId="168" fontId="39" fillId="0" borderId="16" xfId="0" applyNumberFormat="1" applyFont="1" applyBorder="1" applyAlignment="1">
      <alignment vertical="center"/>
    </xf>
    <xf numFmtId="168" fontId="40" fillId="0" borderId="16" xfId="0" applyNumberFormat="1" applyFont="1" applyBorder="1" applyAlignment="1">
      <alignment vertical="center"/>
    </xf>
    <xf numFmtId="1" fontId="40" fillId="0" borderId="17" xfId="0" applyNumberFormat="1" applyFont="1" applyBorder="1" applyAlignment="1">
      <alignment vertical="center"/>
    </xf>
    <xf numFmtId="9" fontId="40" fillId="0" borderId="16" xfId="0" applyNumberFormat="1" applyFont="1" applyBorder="1" applyAlignment="1">
      <alignment vertical="center"/>
    </xf>
    <xf numFmtId="165" fontId="40" fillId="0" borderId="0" xfId="0" applyNumberFormat="1" applyFont="1"/>
    <xf numFmtId="0" fontId="40" fillId="0" borderId="0" xfId="0" applyFont="1" applyAlignment="1">
      <alignment vertical="center"/>
    </xf>
    <xf numFmtId="0" fontId="40" fillId="0" borderId="0" xfId="0" applyFont="1"/>
    <xf numFmtId="0" fontId="40" fillId="0" borderId="8" xfId="0" applyFont="1" applyBorder="1" applyAlignment="1">
      <alignment vertical="center"/>
    </xf>
    <xf numFmtId="165" fontId="40" fillId="0" borderId="0" xfId="0" applyNumberFormat="1" applyFont="1" applyAlignment="1">
      <alignment vertical="center"/>
    </xf>
    <xf numFmtId="0" fontId="40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68" fontId="38" fillId="9" borderId="1" xfId="0" applyNumberFormat="1" applyFont="1" applyFill="1" applyBorder="1" applyAlignment="1">
      <alignment horizontal="center" vertical="center"/>
    </xf>
    <xf numFmtId="1" fontId="38" fillId="0" borderId="17" xfId="0" applyNumberFormat="1" applyFont="1" applyBorder="1" applyAlignment="1">
      <alignment vertical="center"/>
    </xf>
    <xf numFmtId="0" fontId="33" fillId="2" borderId="29" xfId="0" applyFont="1" applyFill="1" applyBorder="1" applyAlignment="1">
      <alignment horizontal="center" vertical="center"/>
    </xf>
    <xf numFmtId="0" fontId="42" fillId="14" borderId="31" xfId="0" applyFont="1" applyFill="1" applyBorder="1" applyAlignment="1">
      <alignment horizontal="center" vertical="center"/>
    </xf>
    <xf numFmtId="0" fontId="42" fillId="14" borderId="32" xfId="0" applyFont="1" applyFill="1" applyBorder="1" applyAlignment="1">
      <alignment horizontal="center" vertical="center"/>
    </xf>
    <xf numFmtId="0" fontId="42" fillId="14" borderId="29" xfId="0" applyFont="1" applyFill="1" applyBorder="1" applyAlignment="1">
      <alignment horizontal="center" vertical="center"/>
    </xf>
    <xf numFmtId="0" fontId="42" fillId="14" borderId="33" xfId="0" applyFont="1" applyFill="1" applyBorder="1" applyAlignment="1">
      <alignment horizontal="center" vertical="center"/>
    </xf>
    <xf numFmtId="165" fontId="40" fillId="0" borderId="8" xfId="0" applyNumberFormat="1" applyFont="1" applyBorder="1"/>
    <xf numFmtId="165" fontId="40" fillId="0" borderId="9" xfId="0" applyNumberFormat="1" applyFont="1" applyBorder="1" applyAlignment="1">
      <alignment vertical="center"/>
    </xf>
    <xf numFmtId="0" fontId="40" fillId="0" borderId="9" xfId="0" applyFont="1" applyBorder="1" applyAlignment="1">
      <alignment horizontal="center" vertical="center"/>
    </xf>
    <xf numFmtId="165" fontId="40" fillId="0" borderId="9" xfId="0" applyNumberFormat="1" applyFont="1" applyBorder="1" applyAlignment="1">
      <alignment horizontal="center" vertical="center"/>
    </xf>
    <xf numFmtId="3" fontId="40" fillId="0" borderId="5" xfId="0" applyNumberFormat="1" applyFont="1" applyBorder="1" applyAlignment="1">
      <alignment vertical="center"/>
    </xf>
    <xf numFmtId="3" fontId="40" fillId="9" borderId="1" xfId="0" applyNumberFormat="1" applyFont="1" applyFill="1" applyBorder="1" applyAlignment="1">
      <alignment horizontal="center" vertical="center"/>
    </xf>
    <xf numFmtId="3" fontId="40" fillId="0" borderId="16" xfId="0" applyNumberFormat="1" applyFont="1" applyBorder="1" applyAlignment="1">
      <alignment vertical="center"/>
    </xf>
    <xf numFmtId="0" fontId="5" fillId="0" borderId="3" xfId="0" applyFont="1" applyBorder="1" applyAlignment="1">
      <alignment vertical="center"/>
    </xf>
    <xf numFmtId="169" fontId="5" fillId="0" borderId="3" xfId="0" applyNumberFormat="1" applyFont="1" applyBorder="1" applyAlignment="1">
      <alignment vertical="center"/>
    </xf>
    <xf numFmtId="165" fontId="5" fillId="0" borderId="3" xfId="0" applyNumberFormat="1" applyFont="1" applyBorder="1" applyAlignment="1">
      <alignment vertical="center"/>
    </xf>
    <xf numFmtId="0" fontId="40" fillId="0" borderId="8" xfId="0" applyFont="1" applyBorder="1"/>
    <xf numFmtId="0" fontId="42" fillId="2" borderId="29" xfId="0" applyFont="1" applyFill="1" applyBorder="1" applyAlignment="1">
      <alignment horizontal="center" vertical="center"/>
    </xf>
    <xf numFmtId="0" fontId="42" fillId="2" borderId="30" xfId="0" applyFont="1" applyFill="1" applyBorder="1" applyAlignment="1">
      <alignment horizontal="center" vertical="center"/>
    </xf>
    <xf numFmtId="0" fontId="22" fillId="14" borderId="4" xfId="0" applyFont="1" applyFill="1" applyBorder="1" applyAlignment="1">
      <alignment vertical="center"/>
    </xf>
    <xf numFmtId="9" fontId="40" fillId="14" borderId="1" xfId="0" applyNumberFormat="1" applyFont="1" applyFill="1" applyBorder="1" applyAlignment="1">
      <alignment vertical="center"/>
    </xf>
    <xf numFmtId="168" fontId="40" fillId="14" borderId="5" xfId="0" applyNumberFormat="1" applyFont="1" applyFill="1" applyBorder="1" applyAlignment="1">
      <alignment vertical="center"/>
    </xf>
    <xf numFmtId="168" fontId="40" fillId="14" borderId="1" xfId="0" applyNumberFormat="1" applyFont="1" applyFill="1" applyBorder="1" applyAlignment="1">
      <alignment horizontal="center" vertical="center"/>
    </xf>
    <xf numFmtId="9" fontId="43" fillId="14" borderId="1" xfId="0" applyNumberFormat="1" applyFont="1" applyFill="1" applyBorder="1" applyAlignment="1">
      <alignment vertical="center"/>
    </xf>
    <xf numFmtId="168" fontId="38" fillId="14" borderId="5" xfId="0" applyNumberFormat="1" applyFont="1" applyFill="1" applyBorder="1" applyAlignment="1">
      <alignment vertical="center"/>
    </xf>
    <xf numFmtId="168" fontId="39" fillId="14" borderId="1" xfId="0" applyNumberFormat="1" applyFont="1" applyFill="1" applyBorder="1" applyAlignment="1">
      <alignment horizontal="center" vertical="center"/>
    </xf>
    <xf numFmtId="9" fontId="39" fillId="14" borderId="1" xfId="0" applyNumberFormat="1" applyFont="1" applyFill="1" applyBorder="1" applyAlignment="1">
      <alignment vertical="center"/>
    </xf>
    <xf numFmtId="168" fontId="39" fillId="14" borderId="5" xfId="0" applyNumberFormat="1" applyFont="1" applyFill="1" applyBorder="1" applyAlignment="1">
      <alignment vertical="center"/>
    </xf>
    <xf numFmtId="0" fontId="22" fillId="14" borderId="2" xfId="0" applyFont="1" applyFill="1" applyBorder="1" applyAlignment="1">
      <alignment vertical="center"/>
    </xf>
    <xf numFmtId="0" fontId="22" fillId="14" borderId="7" xfId="0" applyFont="1" applyFill="1" applyBorder="1" applyAlignment="1">
      <alignment vertical="center"/>
    </xf>
    <xf numFmtId="0" fontId="40" fillId="14" borderId="9" xfId="0" applyFont="1" applyFill="1" applyBorder="1" applyAlignment="1">
      <alignment vertical="center"/>
    </xf>
    <xf numFmtId="0" fontId="38" fillId="14" borderId="9" xfId="0" applyFont="1" applyFill="1" applyBorder="1" applyAlignment="1">
      <alignment vertical="center"/>
    </xf>
    <xf numFmtId="0" fontId="39" fillId="14" borderId="9" xfId="0" applyFont="1" applyFill="1" applyBorder="1" applyAlignment="1">
      <alignment vertical="center"/>
    </xf>
    <xf numFmtId="168" fontId="40" fillId="14" borderId="16" xfId="0" applyNumberFormat="1" applyFont="1" applyFill="1" applyBorder="1" applyAlignment="1">
      <alignment vertical="center"/>
    </xf>
    <xf numFmtId="1" fontId="40" fillId="14" borderId="17" xfId="0" applyNumberFormat="1" applyFont="1" applyFill="1" applyBorder="1" applyAlignment="1">
      <alignment vertical="center"/>
    </xf>
    <xf numFmtId="168" fontId="38" fillId="14" borderId="16" xfId="0" applyNumberFormat="1" applyFont="1" applyFill="1" applyBorder="1" applyAlignment="1">
      <alignment vertical="center"/>
    </xf>
    <xf numFmtId="1" fontId="39" fillId="14" borderId="17" xfId="0" applyNumberFormat="1" applyFont="1" applyFill="1" applyBorder="1" applyAlignment="1">
      <alignment vertical="center"/>
    </xf>
    <xf numFmtId="168" fontId="39" fillId="14" borderId="16" xfId="0" applyNumberFormat="1" applyFont="1" applyFill="1" applyBorder="1" applyAlignment="1">
      <alignment vertical="center"/>
    </xf>
    <xf numFmtId="165" fontId="40" fillId="14" borderId="0" xfId="0" applyNumberFormat="1" applyFont="1" applyFill="1"/>
    <xf numFmtId="0" fontId="40" fillId="14" borderId="0" xfId="0" applyFont="1" applyFill="1" applyAlignment="1">
      <alignment vertical="center"/>
    </xf>
    <xf numFmtId="0" fontId="40" fillId="14" borderId="0" xfId="0" applyFont="1" applyFill="1"/>
    <xf numFmtId="3" fontId="40" fillId="14" borderId="5" xfId="0" applyNumberFormat="1" applyFont="1" applyFill="1" applyBorder="1" applyAlignment="1">
      <alignment vertical="center"/>
    </xf>
    <xf numFmtId="3" fontId="40" fillId="14" borderId="1" xfId="0" applyNumberFormat="1" applyFont="1" applyFill="1" applyBorder="1" applyAlignment="1">
      <alignment horizontal="center" vertical="center"/>
    </xf>
    <xf numFmtId="0" fontId="40" fillId="14" borderId="8" xfId="0" applyFont="1" applyFill="1" applyBorder="1" applyAlignment="1">
      <alignment vertical="center"/>
    </xf>
    <xf numFmtId="165" fontId="40" fillId="14" borderId="0" xfId="0" applyNumberFormat="1" applyFont="1" applyFill="1" applyAlignment="1">
      <alignment vertical="center"/>
    </xf>
    <xf numFmtId="3" fontId="40" fillId="14" borderId="16" xfId="0" applyNumberFormat="1" applyFont="1" applyFill="1" applyBorder="1" applyAlignment="1">
      <alignment vertical="center"/>
    </xf>
    <xf numFmtId="0" fontId="40" fillId="14" borderId="0" xfId="0" applyFont="1" applyFill="1" applyAlignment="1">
      <alignment horizontal="center" vertical="center"/>
    </xf>
    <xf numFmtId="0" fontId="45" fillId="0" borderId="3" xfId="0" applyFont="1" applyBorder="1"/>
    <xf numFmtId="0" fontId="45" fillId="0" borderId="3" xfId="0" applyFont="1" applyBorder="1" applyAlignment="1">
      <alignment horizontal="right"/>
    </xf>
    <xf numFmtId="0" fontId="29" fillId="0" borderId="3" xfId="0" applyFont="1" applyBorder="1"/>
    <xf numFmtId="0" fontId="29" fillId="14" borderId="3" xfId="0" applyFont="1" applyFill="1" applyBorder="1"/>
    <xf numFmtId="0" fontId="45" fillId="0" borderId="0" xfId="0" applyFont="1"/>
    <xf numFmtId="0" fontId="29" fillId="15" borderId="3" xfId="0" applyFont="1" applyFill="1" applyBorder="1"/>
    <xf numFmtId="0" fontId="29" fillId="16" borderId="3" xfId="0" applyFont="1" applyFill="1" applyBorder="1"/>
    <xf numFmtId="0" fontId="29" fillId="6" borderId="3" xfId="0" applyFont="1" applyFill="1" applyBorder="1"/>
    <xf numFmtId="0" fontId="45" fillId="16" borderId="3" xfId="0" applyFont="1" applyFill="1" applyBorder="1"/>
    <xf numFmtId="0" fontId="45" fillId="15" borderId="3" xfId="0" applyFont="1" applyFill="1" applyBorder="1"/>
    <xf numFmtId="0" fontId="45" fillId="14" borderId="3" xfId="0" applyFont="1" applyFill="1" applyBorder="1"/>
    <xf numFmtId="0" fontId="45" fillId="14" borderId="3" xfId="0" applyFont="1" applyFill="1" applyBorder="1" applyAlignment="1">
      <alignment horizontal="right"/>
    </xf>
    <xf numFmtId="0" fontId="45" fillId="14" borderId="0" xfId="0" applyFont="1" applyFill="1"/>
    <xf numFmtId="0" fontId="29" fillId="14" borderId="0" xfId="0" applyFont="1" applyFill="1"/>
    <xf numFmtId="165" fontId="45" fillId="14" borderId="3" xfId="0" applyNumberFormat="1" applyFont="1" applyFill="1" applyBorder="1" applyAlignment="1">
      <alignment horizontal="right"/>
    </xf>
    <xf numFmtId="165" fontId="45" fillId="14" borderId="3" xfId="0" applyNumberFormat="1" applyFont="1" applyFill="1" applyBorder="1"/>
    <xf numFmtId="165" fontId="29" fillId="14" borderId="3" xfId="0" applyNumberFormat="1" applyFont="1" applyFill="1" applyBorder="1"/>
    <xf numFmtId="0" fontId="46" fillId="14" borderId="3" xfId="0" applyFont="1" applyFill="1" applyBorder="1"/>
    <xf numFmtId="0" fontId="47" fillId="14" borderId="3" xfId="0" applyFont="1" applyFill="1" applyBorder="1" applyAlignment="1">
      <alignment horizontal="right"/>
    </xf>
    <xf numFmtId="0" fontId="45" fillId="17" borderId="3" xfId="0" applyFont="1" applyFill="1" applyBorder="1"/>
    <xf numFmtId="0" fontId="22" fillId="14" borderId="3" xfId="0" applyFont="1" applyFill="1" applyBorder="1"/>
    <xf numFmtId="0" fontId="48" fillId="14" borderId="3" xfId="0" applyFont="1" applyFill="1" applyBorder="1"/>
    <xf numFmtId="0" fontId="49" fillId="0" borderId="0" xfId="0" applyFont="1"/>
    <xf numFmtId="0" fontId="29" fillId="18" borderId="3" xfId="0" applyFont="1" applyFill="1" applyBorder="1"/>
    <xf numFmtId="0" fontId="48" fillId="19" borderId="3" xfId="0" applyFont="1" applyFill="1" applyBorder="1"/>
    <xf numFmtId="0" fontId="29" fillId="0" borderId="34" xfId="0" applyFont="1" applyBorder="1"/>
    <xf numFmtId="0" fontId="48" fillId="16" borderId="3" xfId="0" applyFont="1" applyFill="1" applyBorder="1"/>
    <xf numFmtId="0" fontId="29" fillId="19" borderId="3" xfId="0" applyFont="1" applyFill="1" applyBorder="1"/>
    <xf numFmtId="0" fontId="48" fillId="20" borderId="3" xfId="0" applyFont="1" applyFill="1" applyBorder="1"/>
    <xf numFmtId="0" fontId="22" fillId="0" borderId="3" xfId="0" applyFont="1" applyBorder="1"/>
    <xf numFmtId="0" fontId="5" fillId="14" borderId="3" xfId="0" applyFont="1" applyFill="1" applyBorder="1"/>
    <xf numFmtId="165" fontId="5" fillId="14" borderId="3" xfId="0" applyNumberFormat="1" applyFont="1" applyFill="1" applyBorder="1"/>
    <xf numFmtId="165" fontId="29" fillId="0" borderId="3" xfId="0" applyNumberFormat="1" applyFont="1" applyBorder="1"/>
    <xf numFmtId="0" fontId="50" fillId="0" borderId="34" xfId="0" applyFont="1" applyBorder="1"/>
    <xf numFmtId="0" fontId="50" fillId="0" borderId="16" xfId="0" applyFont="1" applyBorder="1"/>
    <xf numFmtId="0" fontId="50" fillId="0" borderId="16" xfId="0" applyFont="1" applyBorder="1" applyAlignment="1">
      <alignment horizontal="right"/>
    </xf>
    <xf numFmtId="0" fontId="47" fillId="14" borderId="3" xfId="0" applyFont="1" applyFill="1" applyBorder="1"/>
    <xf numFmtId="0" fontId="5" fillId="0" borderId="3" xfId="0" applyFont="1" applyBorder="1"/>
    <xf numFmtId="165" fontId="5" fillId="0" borderId="3" xfId="0" applyNumberFormat="1" applyFont="1" applyBorder="1"/>
    <xf numFmtId="0" fontId="51" fillId="22" borderId="39" xfId="0" applyFont="1" applyFill="1" applyBorder="1" applyAlignment="1">
      <alignment horizontal="center" vertical="center"/>
    </xf>
    <xf numFmtId="0" fontId="51" fillId="0" borderId="39" xfId="0" applyFont="1" applyBorder="1" applyAlignment="1">
      <alignment horizontal="left" vertical="center"/>
    </xf>
    <xf numFmtId="164" fontId="51" fillId="0" borderId="39" xfId="0" applyNumberFormat="1" applyFont="1" applyBorder="1" applyAlignment="1">
      <alignment horizontal="left"/>
    </xf>
    <xf numFmtId="0" fontId="51" fillId="21" borderId="39" xfId="0" applyFont="1" applyFill="1" applyBorder="1" applyAlignment="1">
      <alignment horizontal="center"/>
    </xf>
    <xf numFmtId="0" fontId="51" fillId="21" borderId="41" xfId="0" applyFont="1" applyFill="1" applyBorder="1" applyAlignment="1">
      <alignment horizontal="center"/>
    </xf>
    <xf numFmtId="164" fontId="51" fillId="0" borderId="41" xfId="0" applyNumberFormat="1" applyFont="1" applyBorder="1" applyAlignment="1">
      <alignment horizontal="left"/>
    </xf>
    <xf numFmtId="164" fontId="51" fillId="0" borderId="39" xfId="0" applyNumberFormat="1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10" fillId="0" borderId="9" xfId="0" applyFont="1" applyBorder="1" applyAlignment="1">
      <alignment horizontal="center" vertical="center"/>
    </xf>
    <xf numFmtId="0" fontId="51" fillId="0" borderId="8" xfId="0" applyFont="1" applyBorder="1" applyAlignment="1">
      <alignment horizontal="left" vertical="center"/>
    </xf>
    <xf numFmtId="164" fontId="51" fillId="0" borderId="54" xfId="0" applyNumberFormat="1" applyFont="1" applyBorder="1" applyAlignment="1">
      <alignment horizontal="left" vertical="center"/>
    </xf>
    <xf numFmtId="0" fontId="51" fillId="22" borderId="55" xfId="0" applyFont="1" applyFill="1" applyBorder="1" applyAlignment="1">
      <alignment horizontal="center" vertical="center"/>
    </xf>
    <xf numFmtId="0" fontId="51" fillId="0" borderId="56" xfId="0" applyFont="1" applyBorder="1" applyAlignment="1">
      <alignment horizontal="left" vertical="center"/>
    </xf>
    <xf numFmtId="0" fontId="51" fillId="22" borderId="33" xfId="0" applyFont="1" applyFill="1" applyBorder="1" applyAlignment="1">
      <alignment horizontal="center" vertical="center"/>
    </xf>
    <xf numFmtId="0" fontId="51" fillId="0" borderId="54" xfId="0" applyFont="1" applyBorder="1" applyAlignment="1">
      <alignment horizontal="left" vertical="center"/>
    </xf>
    <xf numFmtId="0" fontId="51" fillId="0" borderId="38" xfId="0" applyFont="1" applyBorder="1" applyAlignment="1">
      <alignment horizontal="left"/>
    </xf>
    <xf numFmtId="0" fontId="51" fillId="21" borderId="38" xfId="0" applyFont="1" applyFill="1" applyBorder="1" applyAlignment="1">
      <alignment horizontal="center"/>
    </xf>
    <xf numFmtId="0" fontId="51" fillId="0" borderId="39" xfId="0" applyFont="1" applyBorder="1" applyAlignment="1">
      <alignment horizontal="left"/>
    </xf>
    <xf numFmtId="164" fontId="51" fillId="0" borderId="57" xfId="0" applyNumberFormat="1" applyFont="1" applyBorder="1" applyAlignment="1">
      <alignment horizontal="left"/>
    </xf>
    <xf numFmtId="0" fontId="5" fillId="2" borderId="23" xfId="0" applyFont="1" applyFill="1" applyBorder="1" applyAlignment="1">
      <alignment vertical="center"/>
    </xf>
    <xf numFmtId="0" fontId="4" fillId="2" borderId="23" xfId="0" applyFont="1" applyFill="1" applyBorder="1" applyAlignment="1">
      <alignment vertical="center"/>
    </xf>
    <xf numFmtId="0" fontId="7" fillId="2" borderId="23" xfId="0" applyFont="1" applyFill="1" applyBorder="1" applyAlignment="1">
      <alignment vertical="center"/>
    </xf>
    <xf numFmtId="0" fontId="8" fillId="2" borderId="23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vertical="center"/>
    </xf>
    <xf numFmtId="0" fontId="5" fillId="2" borderId="23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42" xfId="0" applyFont="1" applyBorder="1" applyAlignment="1">
      <alignment vertical="center"/>
    </xf>
    <xf numFmtId="0" fontId="10" fillId="0" borderId="42" xfId="0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8" borderId="13" xfId="0" applyFont="1" applyFill="1" applyBorder="1" applyAlignment="1">
      <alignment vertical="center"/>
    </xf>
    <xf numFmtId="0" fontId="5" fillId="8" borderId="4" xfId="0" applyFont="1" applyFill="1" applyBorder="1" applyAlignment="1">
      <alignment vertical="center"/>
    </xf>
    <xf numFmtId="0" fontId="5" fillId="0" borderId="42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9" fontId="5" fillId="0" borderId="6" xfId="0" applyNumberFormat="1" applyFont="1" applyBorder="1" applyAlignment="1">
      <alignment vertical="center"/>
    </xf>
    <xf numFmtId="0" fontId="10" fillId="0" borderId="45" xfId="0" applyFont="1" applyBorder="1" applyAlignment="1">
      <alignment horizontal="center" vertical="center"/>
    </xf>
    <xf numFmtId="0" fontId="5" fillId="0" borderId="43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9" fontId="21" fillId="8" borderId="9" xfId="0" applyNumberFormat="1" applyFont="1" applyFill="1" applyBorder="1" applyAlignment="1">
      <alignment vertical="center"/>
    </xf>
    <xf numFmtId="1" fontId="5" fillId="0" borderId="10" xfId="0" applyNumberFormat="1" applyFont="1" applyBorder="1" applyAlignment="1">
      <alignment vertical="center"/>
    </xf>
    <xf numFmtId="1" fontId="5" fillId="9" borderId="9" xfId="0" applyNumberFormat="1" applyFont="1" applyFill="1" applyBorder="1" applyAlignment="1">
      <alignment horizontal="center" vertical="center"/>
    </xf>
    <xf numFmtId="9" fontId="5" fillId="0" borderId="11" xfId="0" applyNumberFormat="1" applyFont="1" applyBorder="1" applyAlignment="1">
      <alignment vertical="center"/>
    </xf>
    <xf numFmtId="9" fontId="5" fillId="8" borderId="9" xfId="0" applyNumberFormat="1" applyFont="1" applyFill="1" applyBorder="1" applyAlignment="1">
      <alignment vertical="center"/>
    </xf>
    <xf numFmtId="0" fontId="5" fillId="0" borderId="10" xfId="0" applyFont="1" applyBorder="1" applyAlignment="1">
      <alignment vertical="center"/>
    </xf>
    <xf numFmtId="9" fontId="5" fillId="10" borderId="9" xfId="0" applyNumberFormat="1" applyFont="1" applyFill="1" applyBorder="1" applyAlignment="1">
      <alignment vertical="center"/>
    </xf>
    <xf numFmtId="0" fontId="5" fillId="10" borderId="9" xfId="0" applyFont="1" applyFill="1" applyBorder="1" applyAlignment="1">
      <alignment vertical="center"/>
    </xf>
    <xf numFmtId="0" fontId="5" fillId="10" borderId="9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5" fillId="0" borderId="47" xfId="0" applyFont="1" applyBorder="1" applyAlignment="1">
      <alignment vertical="center"/>
    </xf>
    <xf numFmtId="9" fontId="5" fillId="0" borderId="48" xfId="0" applyNumberFormat="1" applyFont="1" applyBorder="1" applyAlignment="1">
      <alignment vertical="center"/>
    </xf>
    <xf numFmtId="0" fontId="5" fillId="0" borderId="48" xfId="0" applyFont="1" applyBorder="1" applyAlignment="1">
      <alignment vertical="center"/>
    </xf>
    <xf numFmtId="1" fontId="5" fillId="0" borderId="48" xfId="0" applyNumberFormat="1" applyFont="1" applyBorder="1" applyAlignment="1">
      <alignment vertical="center"/>
    </xf>
    <xf numFmtId="9" fontId="5" fillId="0" borderId="40" xfId="0" applyNumberFormat="1" applyFont="1" applyBorder="1" applyAlignment="1">
      <alignment vertical="center"/>
    </xf>
    <xf numFmtId="0" fontId="22" fillId="0" borderId="53" xfId="0" applyFont="1" applyBorder="1" applyAlignment="1">
      <alignment vertical="center"/>
    </xf>
    <xf numFmtId="165" fontId="23" fillId="0" borderId="2" xfId="0" applyNumberFormat="1" applyFont="1" applyBorder="1" applyAlignment="1">
      <alignment vertical="center"/>
    </xf>
    <xf numFmtId="166" fontId="10" fillId="0" borderId="7" xfId="0" applyNumberFormat="1" applyFont="1" applyBorder="1" applyAlignment="1">
      <alignment vertical="center"/>
    </xf>
    <xf numFmtId="0" fontId="22" fillId="0" borderId="45" xfId="0" applyFont="1" applyBorder="1"/>
    <xf numFmtId="0" fontId="22" fillId="0" borderId="50" xfId="0" applyFont="1" applyBorder="1"/>
    <xf numFmtId="166" fontId="5" fillId="0" borderId="22" xfId="0" applyNumberFormat="1" applyFont="1" applyBorder="1" applyAlignment="1">
      <alignment horizontal="right" vertical="center"/>
    </xf>
    <xf numFmtId="166" fontId="21" fillId="0" borderId="22" xfId="0" applyNumberFormat="1" applyFont="1" applyBorder="1" applyAlignment="1">
      <alignment horizontal="right" vertical="center"/>
    </xf>
    <xf numFmtId="0" fontId="22" fillId="0" borderId="45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0" fontId="5" fillId="0" borderId="22" xfId="0" applyFont="1" applyBorder="1" applyAlignment="1">
      <alignment vertical="center"/>
    </xf>
    <xf numFmtId="165" fontId="5" fillId="0" borderId="2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6" fontId="10" fillId="0" borderId="22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vertical="center"/>
    </xf>
    <xf numFmtId="0" fontId="21" fillId="0" borderId="45" xfId="0" applyFont="1" applyBorder="1" applyAlignment="1">
      <alignment vertical="center"/>
    </xf>
    <xf numFmtId="0" fontId="27" fillId="0" borderId="45" xfId="0" applyFont="1" applyBorder="1"/>
    <xf numFmtId="0" fontId="21" fillId="0" borderId="45" xfId="0" applyFont="1" applyBorder="1"/>
    <xf numFmtId="0" fontId="27" fillId="0" borderId="45" xfId="0" applyFont="1" applyBorder="1" applyAlignment="1">
      <alignment vertical="center"/>
    </xf>
    <xf numFmtId="0" fontId="27" fillId="0" borderId="43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165" fontId="21" fillId="0" borderId="2" xfId="0" applyNumberFormat="1" applyFont="1" applyBorder="1" applyAlignment="1">
      <alignment horizontal="center" vertical="center"/>
    </xf>
    <xf numFmtId="166" fontId="21" fillId="0" borderId="7" xfId="0" applyNumberFormat="1" applyFont="1" applyBorder="1" applyAlignment="1">
      <alignment horizontal="right" vertical="center"/>
    </xf>
    <xf numFmtId="0" fontId="27" fillId="2" borderId="43" xfId="0" applyFont="1" applyFill="1" applyBorder="1" applyAlignment="1">
      <alignment vertical="center"/>
    </xf>
    <xf numFmtId="0" fontId="27" fillId="0" borderId="2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0" fontId="24" fillId="0" borderId="45" xfId="0" applyFont="1" applyBorder="1" applyAlignment="1">
      <alignment vertical="center"/>
    </xf>
    <xf numFmtId="166" fontId="10" fillId="0" borderId="22" xfId="0" applyNumberFormat="1" applyFont="1" applyBorder="1" applyAlignment="1">
      <alignment vertical="center"/>
    </xf>
    <xf numFmtId="0" fontId="10" fillId="0" borderId="45" xfId="0" applyFont="1" applyBorder="1" applyAlignment="1">
      <alignment vertical="center"/>
    </xf>
    <xf numFmtId="0" fontId="27" fillId="0" borderId="43" xfId="0" applyFont="1" applyBorder="1"/>
    <xf numFmtId="0" fontId="27" fillId="0" borderId="2" xfId="0" applyFont="1" applyBorder="1" applyAlignment="1">
      <alignment horizontal="center"/>
    </xf>
    <xf numFmtId="0" fontId="27" fillId="0" borderId="2" xfId="0" applyFont="1" applyBorder="1"/>
    <xf numFmtId="165" fontId="21" fillId="0" borderId="2" xfId="0" applyNumberFormat="1" applyFont="1" applyBorder="1" applyAlignment="1">
      <alignment horizontal="center"/>
    </xf>
    <xf numFmtId="166" fontId="5" fillId="0" borderId="7" xfId="0" applyNumberFormat="1" applyFont="1" applyBorder="1" applyAlignment="1">
      <alignment horizontal="right" vertical="center"/>
    </xf>
    <xf numFmtId="0" fontId="10" fillId="2" borderId="44" xfId="0" applyFont="1" applyFill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10" fillId="0" borderId="25" xfId="0" applyFont="1" applyBorder="1" applyAlignment="1">
      <alignment horizontal="center" vertical="center"/>
    </xf>
    <xf numFmtId="0" fontId="28" fillId="0" borderId="2" xfId="0" applyFont="1" applyBorder="1" applyAlignment="1">
      <alignment vertical="center"/>
    </xf>
    <xf numFmtId="0" fontId="22" fillId="0" borderId="43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33" fillId="0" borderId="31" xfId="0" applyFont="1" applyBorder="1" applyAlignment="1">
      <alignment horizontal="center" vertical="center"/>
    </xf>
    <xf numFmtId="0" fontId="22" fillId="0" borderId="46" xfId="0" applyFont="1" applyBorder="1" applyAlignment="1">
      <alignment vertical="center"/>
    </xf>
    <xf numFmtId="0" fontId="22" fillId="8" borderId="13" xfId="0" applyFont="1" applyFill="1" applyBorder="1" applyAlignment="1">
      <alignment vertical="center"/>
    </xf>
    <xf numFmtId="0" fontId="22" fillId="8" borderId="4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39" fillId="0" borderId="1" xfId="0" applyFont="1" applyBorder="1" applyAlignment="1">
      <alignment vertical="center"/>
    </xf>
    <xf numFmtId="9" fontId="39" fillId="0" borderId="6" xfId="0" applyNumberFormat="1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9" fontId="40" fillId="0" borderId="6" xfId="0" applyNumberFormat="1" applyFont="1" applyBorder="1" applyAlignment="1">
      <alignment vertical="center"/>
    </xf>
    <xf numFmtId="0" fontId="33" fillId="0" borderId="32" xfId="0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9" fontId="38" fillId="8" borderId="9" xfId="0" applyNumberFormat="1" applyFont="1" applyFill="1" applyBorder="1" applyAlignment="1">
      <alignment vertical="center"/>
    </xf>
    <xf numFmtId="168" fontId="38" fillId="0" borderId="10" xfId="0" applyNumberFormat="1" applyFont="1" applyBorder="1" applyAlignment="1">
      <alignment vertical="center"/>
    </xf>
    <xf numFmtId="168" fontId="39" fillId="9" borderId="9" xfId="0" applyNumberFormat="1" applyFont="1" applyFill="1" applyBorder="1" applyAlignment="1">
      <alignment horizontal="center" vertical="center"/>
    </xf>
    <xf numFmtId="9" fontId="39" fillId="0" borderId="11" xfId="0" applyNumberFormat="1" applyFont="1" applyBorder="1" applyAlignment="1">
      <alignment vertical="center"/>
    </xf>
    <xf numFmtId="9" fontId="39" fillId="8" borderId="9" xfId="0" applyNumberFormat="1" applyFont="1" applyFill="1" applyBorder="1" applyAlignment="1">
      <alignment vertical="center"/>
    </xf>
    <xf numFmtId="168" fontId="39" fillId="0" borderId="10" xfId="0" applyNumberFormat="1" applyFont="1" applyBorder="1" applyAlignment="1">
      <alignment vertical="center"/>
    </xf>
    <xf numFmtId="9" fontId="40" fillId="8" borderId="9" xfId="0" applyNumberFormat="1" applyFont="1" applyFill="1" applyBorder="1" applyAlignment="1">
      <alignment vertical="center"/>
    </xf>
    <xf numFmtId="168" fontId="40" fillId="0" borderId="10" xfId="0" applyNumberFormat="1" applyFont="1" applyBorder="1" applyAlignment="1">
      <alignment vertical="center"/>
    </xf>
    <xf numFmtId="168" fontId="40" fillId="9" borderId="9" xfId="0" applyNumberFormat="1" applyFont="1" applyFill="1" applyBorder="1" applyAlignment="1">
      <alignment horizontal="center" vertical="center"/>
    </xf>
    <xf numFmtId="9" fontId="40" fillId="0" borderId="11" xfId="0" applyNumberFormat="1" applyFont="1" applyBorder="1" applyAlignment="1">
      <alignment vertical="center"/>
    </xf>
    <xf numFmtId="9" fontId="40" fillId="0" borderId="10" xfId="0" applyNumberFormat="1" applyFont="1" applyBorder="1" applyAlignment="1">
      <alignment vertical="center"/>
    </xf>
    <xf numFmtId="0" fontId="33" fillId="0" borderId="29" xfId="0" applyFont="1" applyBorder="1" applyAlignment="1">
      <alignment horizontal="center" vertical="center"/>
    </xf>
    <xf numFmtId="0" fontId="38" fillId="0" borderId="48" xfId="0" applyFont="1" applyBorder="1" applyAlignment="1">
      <alignment vertical="center"/>
    </xf>
    <xf numFmtId="9" fontId="38" fillId="0" borderId="48" xfId="0" applyNumberFormat="1" applyFont="1" applyBorder="1" applyAlignment="1">
      <alignment vertical="center"/>
    </xf>
    <xf numFmtId="168" fontId="39" fillId="0" borderId="48" xfId="0" applyNumberFormat="1" applyFont="1" applyBorder="1" applyAlignment="1">
      <alignment vertical="center"/>
    </xf>
    <xf numFmtId="9" fontId="39" fillId="0" borderId="40" xfId="0" applyNumberFormat="1" applyFont="1" applyBorder="1" applyAlignment="1">
      <alignment vertical="center"/>
    </xf>
    <xf numFmtId="0" fontId="39" fillId="0" borderId="48" xfId="0" applyFont="1" applyBorder="1" applyAlignment="1">
      <alignment vertical="center"/>
    </xf>
    <xf numFmtId="9" fontId="39" fillId="0" borderId="48" xfId="0" applyNumberFormat="1" applyFont="1" applyBorder="1" applyAlignment="1">
      <alignment vertical="center"/>
    </xf>
    <xf numFmtId="0" fontId="40" fillId="0" borderId="48" xfId="0" applyFont="1" applyBorder="1" applyAlignment="1">
      <alignment vertical="center"/>
    </xf>
    <xf numFmtId="9" fontId="40" fillId="0" borderId="48" xfId="0" applyNumberFormat="1" applyFont="1" applyBorder="1" applyAlignment="1">
      <alignment vertical="center"/>
    </xf>
    <xf numFmtId="168" fontId="40" fillId="0" borderId="48" xfId="0" applyNumberFormat="1" applyFont="1" applyBorder="1" applyAlignment="1">
      <alignment vertical="center"/>
    </xf>
    <xf numFmtId="9" fontId="40" fillId="0" borderId="40" xfId="0" applyNumberFormat="1" applyFont="1" applyBorder="1" applyAlignment="1">
      <alignment vertical="center"/>
    </xf>
    <xf numFmtId="165" fontId="40" fillId="0" borderId="45" xfId="0" applyNumberFormat="1" applyFont="1" applyBorder="1"/>
    <xf numFmtId="165" fontId="40" fillId="0" borderId="50" xfId="0" applyNumberFormat="1" applyFont="1" applyBorder="1"/>
    <xf numFmtId="0" fontId="40" fillId="0" borderId="45" xfId="0" applyFont="1" applyBorder="1"/>
    <xf numFmtId="0" fontId="40" fillId="0" borderId="50" xfId="0" applyFont="1" applyBorder="1"/>
    <xf numFmtId="0" fontId="40" fillId="0" borderId="2" xfId="0" applyFont="1" applyBorder="1" applyAlignment="1">
      <alignment vertical="center"/>
    </xf>
    <xf numFmtId="0" fontId="40" fillId="0" borderId="42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165" fontId="40" fillId="0" borderId="2" xfId="0" applyNumberFormat="1" applyFont="1" applyBorder="1" applyAlignment="1">
      <alignment vertical="center"/>
    </xf>
    <xf numFmtId="0" fontId="40" fillId="0" borderId="45" xfId="0" applyFont="1" applyBorder="1" applyAlignment="1">
      <alignment vertical="center"/>
    </xf>
    <xf numFmtId="165" fontId="40" fillId="0" borderId="2" xfId="0" applyNumberFormat="1" applyFont="1" applyBorder="1" applyAlignment="1">
      <alignment horizontal="center" vertical="center"/>
    </xf>
    <xf numFmtId="0" fontId="33" fillId="0" borderId="22" xfId="0" applyFont="1" applyBorder="1" applyAlignment="1">
      <alignment vertical="center"/>
    </xf>
    <xf numFmtId="9" fontId="38" fillId="0" borderId="6" xfId="0" applyNumberFormat="1" applyFont="1" applyBorder="1" applyAlignment="1">
      <alignment vertical="center"/>
    </xf>
    <xf numFmtId="168" fontId="38" fillId="9" borderId="9" xfId="0" applyNumberFormat="1" applyFont="1" applyFill="1" applyBorder="1" applyAlignment="1">
      <alignment horizontal="center" vertical="center"/>
    </xf>
    <xf numFmtId="9" fontId="38" fillId="0" borderId="11" xfId="0" applyNumberFormat="1" applyFont="1" applyBorder="1" applyAlignment="1">
      <alignment vertical="center"/>
    </xf>
    <xf numFmtId="168" fontId="38" fillId="0" borderId="48" xfId="0" applyNumberFormat="1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33" fillId="0" borderId="6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9" fontId="0" fillId="0" borderId="6" xfId="0" applyNumberFormat="1" applyBorder="1" applyAlignment="1">
      <alignment horizontal="left"/>
    </xf>
    <xf numFmtId="3" fontId="40" fillId="0" borderId="10" xfId="0" applyNumberFormat="1" applyFont="1" applyBorder="1" applyAlignment="1">
      <alignment vertical="center"/>
    </xf>
    <xf numFmtId="3" fontId="40" fillId="9" borderId="9" xfId="0" applyNumberFormat="1" applyFont="1" applyFill="1" applyBorder="1" applyAlignment="1">
      <alignment horizontal="center" vertical="center"/>
    </xf>
    <xf numFmtId="0" fontId="44" fillId="0" borderId="35" xfId="0" applyFont="1" applyBorder="1" applyAlignment="1">
      <alignment vertical="center"/>
    </xf>
    <xf numFmtId="9" fontId="0" fillId="0" borderId="36" xfId="0" applyNumberFormat="1" applyBorder="1" applyAlignment="1">
      <alignment horizontal="left"/>
    </xf>
    <xf numFmtId="3" fontId="40" fillId="0" borderId="50" xfId="0" applyNumberFormat="1" applyFont="1" applyBorder="1" applyAlignment="1">
      <alignment vertical="center"/>
    </xf>
    <xf numFmtId="0" fontId="42" fillId="0" borderId="31" xfId="0" applyFont="1" applyBorder="1" applyAlignment="1">
      <alignment horizontal="center" vertical="center"/>
    </xf>
    <xf numFmtId="0" fontId="42" fillId="0" borderId="32" xfId="0" applyFont="1" applyBorder="1" applyAlignment="1">
      <alignment horizontal="center" vertical="center"/>
    </xf>
    <xf numFmtId="0" fontId="42" fillId="0" borderId="29" xfId="0" applyFont="1" applyBorder="1" applyAlignment="1">
      <alignment horizontal="center" vertical="center"/>
    </xf>
    <xf numFmtId="0" fontId="33" fillId="14" borderId="50" xfId="0" applyFont="1" applyFill="1" applyBorder="1" applyAlignment="1">
      <alignment vertical="center"/>
    </xf>
    <xf numFmtId="0" fontId="34" fillId="14" borderId="51" xfId="0" applyFont="1" applyFill="1" applyBorder="1" applyAlignment="1">
      <alignment vertical="center"/>
    </xf>
    <xf numFmtId="0" fontId="22" fillId="14" borderId="46" xfId="0" applyFont="1" applyFill="1" applyBorder="1" applyAlignment="1">
      <alignment vertical="center"/>
    </xf>
    <xf numFmtId="0" fontId="22" fillId="14" borderId="13" xfId="0" applyFont="1" applyFill="1" applyBorder="1" applyAlignment="1">
      <alignment vertical="center"/>
    </xf>
    <xf numFmtId="0" fontId="40" fillId="14" borderId="1" xfId="0" applyFont="1" applyFill="1" applyBorder="1" applyAlignment="1">
      <alignment vertical="center"/>
    </xf>
    <xf numFmtId="9" fontId="38" fillId="14" borderId="6" xfId="0" applyNumberFormat="1" applyFont="1" applyFill="1" applyBorder="1" applyAlignment="1">
      <alignment vertical="center"/>
    </xf>
    <xf numFmtId="0" fontId="38" fillId="14" borderId="1" xfId="0" applyFont="1" applyFill="1" applyBorder="1" applyAlignment="1">
      <alignment vertical="center"/>
    </xf>
    <xf numFmtId="0" fontId="39" fillId="14" borderId="1" xfId="0" applyFont="1" applyFill="1" applyBorder="1" applyAlignment="1">
      <alignment vertical="center"/>
    </xf>
    <xf numFmtId="0" fontId="22" fillId="14" borderId="43" xfId="0" applyFont="1" applyFill="1" applyBorder="1" applyAlignment="1">
      <alignment vertical="center"/>
    </xf>
    <xf numFmtId="9" fontId="40" fillId="14" borderId="9" xfId="0" applyNumberFormat="1" applyFont="1" applyFill="1" applyBorder="1" applyAlignment="1">
      <alignment vertical="center"/>
    </xf>
    <xf numFmtId="168" fontId="40" fillId="14" borderId="10" xfId="0" applyNumberFormat="1" applyFont="1" applyFill="1" applyBorder="1" applyAlignment="1">
      <alignment vertical="center"/>
    </xf>
    <xf numFmtId="168" fontId="40" fillId="14" borderId="9" xfId="0" applyNumberFormat="1" applyFont="1" applyFill="1" applyBorder="1" applyAlignment="1">
      <alignment horizontal="center" vertical="center"/>
    </xf>
    <xf numFmtId="9" fontId="38" fillId="14" borderId="11" xfId="0" applyNumberFormat="1" applyFont="1" applyFill="1" applyBorder="1" applyAlignment="1">
      <alignment vertical="center"/>
    </xf>
    <xf numFmtId="9" fontId="38" fillId="14" borderId="9" xfId="0" applyNumberFormat="1" applyFont="1" applyFill="1" applyBorder="1" applyAlignment="1">
      <alignment vertical="center"/>
    </xf>
    <xf numFmtId="168" fontId="38" fillId="14" borderId="10" xfId="0" applyNumberFormat="1" applyFont="1" applyFill="1" applyBorder="1" applyAlignment="1">
      <alignment vertical="center"/>
    </xf>
    <xf numFmtId="168" fontId="39" fillId="14" borderId="9" xfId="0" applyNumberFormat="1" applyFont="1" applyFill="1" applyBorder="1" applyAlignment="1">
      <alignment horizontal="center" vertical="center"/>
    </xf>
    <xf numFmtId="9" fontId="39" fillId="14" borderId="9" xfId="0" applyNumberFormat="1" applyFont="1" applyFill="1" applyBorder="1" applyAlignment="1">
      <alignment vertical="center"/>
    </xf>
    <xf numFmtId="168" fontId="39" fillId="14" borderId="10" xfId="0" applyNumberFormat="1" applyFont="1" applyFill="1" applyBorder="1" applyAlignment="1">
      <alignment vertical="center"/>
    </xf>
    <xf numFmtId="0" fontId="40" fillId="14" borderId="48" xfId="0" applyFont="1" applyFill="1" applyBorder="1" applyAlignment="1">
      <alignment vertical="center"/>
    </xf>
    <xf numFmtId="9" fontId="40" fillId="14" borderId="48" xfId="0" applyNumberFormat="1" applyFont="1" applyFill="1" applyBorder="1" applyAlignment="1">
      <alignment vertical="center"/>
    </xf>
    <xf numFmtId="168" fontId="40" fillId="14" borderId="48" xfId="0" applyNumberFormat="1" applyFont="1" applyFill="1" applyBorder="1" applyAlignment="1">
      <alignment vertical="center"/>
    </xf>
    <xf numFmtId="9" fontId="39" fillId="14" borderId="40" xfId="0" applyNumberFormat="1" applyFont="1" applyFill="1" applyBorder="1" applyAlignment="1">
      <alignment vertical="center"/>
    </xf>
    <xf numFmtId="0" fontId="38" fillId="14" borderId="48" xfId="0" applyFont="1" applyFill="1" applyBorder="1" applyAlignment="1">
      <alignment vertical="center"/>
    </xf>
    <xf numFmtId="9" fontId="38" fillId="14" borderId="48" xfId="0" applyNumberFormat="1" applyFont="1" applyFill="1" applyBorder="1" applyAlignment="1">
      <alignment vertical="center"/>
    </xf>
    <xf numFmtId="168" fontId="39" fillId="14" borderId="48" xfId="0" applyNumberFormat="1" applyFont="1" applyFill="1" applyBorder="1" applyAlignment="1">
      <alignment vertical="center"/>
    </xf>
    <xf numFmtId="0" fontId="39" fillId="14" borderId="48" xfId="0" applyFont="1" applyFill="1" applyBorder="1" applyAlignment="1">
      <alignment vertical="center"/>
    </xf>
    <xf numFmtId="9" fontId="39" fillId="14" borderId="48" xfId="0" applyNumberFormat="1" applyFont="1" applyFill="1" applyBorder="1" applyAlignment="1">
      <alignment vertical="center"/>
    </xf>
    <xf numFmtId="165" fontId="40" fillId="14" borderId="45" xfId="0" applyNumberFormat="1" applyFont="1" applyFill="1" applyBorder="1"/>
    <xf numFmtId="0" fontId="40" fillId="14" borderId="2" xfId="0" applyFont="1" applyFill="1" applyBorder="1" applyAlignment="1">
      <alignment vertical="center"/>
    </xf>
    <xf numFmtId="0" fontId="40" fillId="14" borderId="45" xfId="0" applyFont="1" applyFill="1" applyBorder="1"/>
    <xf numFmtId="0" fontId="40" fillId="14" borderId="50" xfId="0" applyFont="1" applyFill="1" applyBorder="1"/>
    <xf numFmtId="165" fontId="40" fillId="14" borderId="50" xfId="0" applyNumberFormat="1" applyFont="1" applyFill="1" applyBorder="1"/>
    <xf numFmtId="0" fontId="40" fillId="14" borderId="42" xfId="0" applyFont="1" applyFill="1" applyBorder="1" applyAlignment="1">
      <alignment vertical="center"/>
    </xf>
    <xf numFmtId="0" fontId="44" fillId="14" borderId="42" xfId="0" applyFont="1" applyFill="1" applyBorder="1" applyAlignment="1">
      <alignment vertical="center"/>
    </xf>
    <xf numFmtId="9" fontId="0" fillId="14" borderId="6" xfId="0" applyNumberFormat="1" applyFill="1" applyBorder="1" applyAlignment="1">
      <alignment horizontal="left"/>
    </xf>
    <xf numFmtId="3" fontId="40" fillId="14" borderId="10" xfId="0" applyNumberFormat="1" applyFont="1" applyFill="1" applyBorder="1" applyAlignment="1">
      <alignment vertical="center"/>
    </xf>
    <xf numFmtId="3" fontId="40" fillId="14" borderId="9" xfId="0" applyNumberFormat="1" applyFont="1" applyFill="1" applyBorder="1" applyAlignment="1">
      <alignment horizontal="center" vertical="center"/>
    </xf>
    <xf numFmtId="0" fontId="44" fillId="14" borderId="35" xfId="0" applyFont="1" applyFill="1" applyBorder="1" applyAlignment="1">
      <alignment vertical="center"/>
    </xf>
    <xf numFmtId="9" fontId="0" fillId="14" borderId="36" xfId="0" applyNumberFormat="1" applyFill="1" applyBorder="1" applyAlignment="1">
      <alignment horizontal="left"/>
    </xf>
    <xf numFmtId="0" fontId="40" fillId="14" borderId="47" xfId="0" applyFont="1" applyFill="1" applyBorder="1" applyAlignment="1">
      <alignment vertical="center"/>
    </xf>
    <xf numFmtId="3" fontId="40" fillId="14" borderId="50" xfId="0" applyNumberFormat="1" applyFont="1" applyFill="1" applyBorder="1" applyAlignment="1">
      <alignment vertical="center"/>
    </xf>
    <xf numFmtId="165" fontId="40" fillId="14" borderId="2" xfId="0" applyNumberFormat="1" applyFont="1" applyFill="1" applyBorder="1" applyAlignment="1">
      <alignment vertical="center"/>
    </xf>
    <xf numFmtId="0" fontId="40" fillId="14" borderId="45" xfId="0" applyFont="1" applyFill="1" applyBorder="1" applyAlignment="1">
      <alignment vertical="center"/>
    </xf>
    <xf numFmtId="165" fontId="40" fillId="14" borderId="2" xfId="0" applyNumberFormat="1" applyFont="1" applyFill="1" applyBorder="1" applyAlignment="1">
      <alignment horizontal="center" vertical="center"/>
    </xf>
    <xf numFmtId="0" fontId="29" fillId="14" borderId="35" xfId="0" applyFont="1" applyFill="1" applyBorder="1"/>
    <xf numFmtId="0" fontId="29" fillId="14" borderId="36" xfId="0" applyFont="1" applyFill="1" applyBorder="1"/>
    <xf numFmtId="0" fontId="48" fillId="14" borderId="3" xfId="0" applyFont="1" applyFill="1" applyBorder="1" applyAlignment="1">
      <alignment horizontal="right"/>
    </xf>
    <xf numFmtId="0" fontId="29" fillId="0" borderId="32" xfId="0" applyFont="1" applyBorder="1"/>
    <xf numFmtId="165" fontId="22" fillId="14" borderId="3" xfId="0" applyNumberFormat="1" applyFont="1" applyFill="1" applyBorder="1" applyAlignment="1">
      <alignment horizontal="right"/>
    </xf>
    <xf numFmtId="165" fontId="22" fillId="14" borderId="3" xfId="0" applyNumberFormat="1" applyFont="1" applyFill="1" applyBorder="1" applyAlignment="1">
      <alignment horizontal="center"/>
    </xf>
    <xf numFmtId="0" fontId="48" fillId="14" borderId="3" xfId="0" applyFont="1" applyFill="1" applyBorder="1" applyAlignment="1">
      <alignment horizontal="center"/>
    </xf>
    <xf numFmtId="165" fontId="22" fillId="0" borderId="3" xfId="0" applyNumberFormat="1" applyFont="1" applyBorder="1" applyAlignment="1">
      <alignment horizontal="right"/>
    </xf>
    <xf numFmtId="165" fontId="22" fillId="0" borderId="3" xfId="0" applyNumberFormat="1" applyFont="1" applyBorder="1" applyAlignment="1">
      <alignment horizontal="center"/>
    </xf>
    <xf numFmtId="0" fontId="51" fillId="0" borderId="47" xfId="0" applyFont="1" applyBorder="1" applyAlignment="1">
      <alignment horizontal="left" vertical="center"/>
    </xf>
    <xf numFmtId="164" fontId="51" fillId="0" borderId="47" xfId="0" applyNumberFormat="1" applyFont="1" applyBorder="1" applyAlignment="1">
      <alignment horizontal="left" vertical="center"/>
    </xf>
    <xf numFmtId="0" fontId="51" fillId="22" borderId="57" xfId="0" applyFont="1" applyFill="1" applyBorder="1" applyAlignment="1">
      <alignment horizontal="center" vertical="center"/>
    </xf>
    <xf numFmtId="164" fontId="51" fillId="0" borderId="49" xfId="0" applyNumberFormat="1" applyFont="1" applyBorder="1" applyAlignment="1">
      <alignment horizontal="left" vertical="center"/>
    </xf>
    <xf numFmtId="0" fontId="51" fillId="22" borderId="52" xfId="0" applyFont="1" applyFill="1" applyBorder="1" applyAlignment="1">
      <alignment horizontal="center" vertical="center"/>
    </xf>
    <xf numFmtId="0" fontId="51" fillId="21" borderId="57" xfId="0" applyFont="1" applyFill="1" applyBorder="1" applyAlignment="1">
      <alignment horizontal="center"/>
    </xf>
    <xf numFmtId="0" fontId="29" fillId="29" borderId="3" xfId="0" applyFont="1" applyFill="1" applyBorder="1"/>
    <xf numFmtId="0" fontId="50" fillId="0" borderId="23" xfId="0" applyFont="1" applyBorder="1"/>
    <xf numFmtId="0" fontId="29" fillId="14" borderId="23" xfId="0" applyFont="1" applyFill="1" applyBorder="1"/>
    <xf numFmtId="0" fontId="48" fillId="14" borderId="23" xfId="0" applyFont="1" applyFill="1" applyBorder="1"/>
    <xf numFmtId="0" fontId="48" fillId="14" borderId="23" xfId="0" applyFont="1" applyFill="1" applyBorder="1" applyAlignment="1">
      <alignment horizontal="right"/>
    </xf>
    <xf numFmtId="0" fontId="45" fillId="30" borderId="3" xfId="0" applyFont="1" applyFill="1" applyBorder="1"/>
    <xf numFmtId="0" fontId="29" fillId="30" borderId="3" xfId="0" applyFont="1" applyFill="1" applyBorder="1"/>
    <xf numFmtId="0" fontId="29" fillId="32" borderId="3" xfId="0" applyFont="1" applyFill="1" applyBorder="1"/>
    <xf numFmtId="0" fontId="29" fillId="32" borderId="23" xfId="0" applyFont="1" applyFill="1" applyBorder="1"/>
    <xf numFmtId="0" fontId="45" fillId="32" borderId="3" xfId="0" applyFont="1" applyFill="1" applyBorder="1"/>
    <xf numFmtId="167" fontId="53" fillId="0" borderId="26" xfId="0" applyNumberFormat="1" applyFont="1" applyBorder="1" applyAlignment="1">
      <alignment horizontal="center" vertical="center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29" xfId="0" applyFont="1" applyBorder="1" applyAlignment="1">
      <alignment horizontal="center" vertical="center"/>
    </xf>
    <xf numFmtId="0" fontId="2" fillId="32" borderId="3" xfId="0" applyFont="1" applyFill="1" applyBorder="1"/>
    <xf numFmtId="0" fontId="2" fillId="0" borderId="3" xfId="0" applyFont="1" applyBorder="1"/>
    <xf numFmtId="0" fontId="48" fillId="34" borderId="3" xfId="0" applyFont="1" applyFill="1" applyBorder="1"/>
    <xf numFmtId="0" fontId="29" fillId="34" borderId="3" xfId="0" applyFont="1" applyFill="1" applyBorder="1"/>
    <xf numFmtId="0" fontId="2" fillId="0" borderId="0" xfId="0" applyFont="1"/>
    <xf numFmtId="0" fontId="29" fillId="35" borderId="3" xfId="0" applyFont="1" applyFill="1" applyBorder="1"/>
    <xf numFmtId="0" fontId="1" fillId="0" borderId="0" xfId="0" applyFont="1"/>
    <xf numFmtId="0" fontId="48" fillId="37" borderId="3" xfId="0" applyFont="1" applyFill="1" applyBorder="1"/>
    <xf numFmtId="0" fontId="1" fillId="0" borderId="3" xfId="0" applyFont="1" applyBorder="1"/>
    <xf numFmtId="0" fontId="1" fillId="16" borderId="3" xfId="0" applyFont="1" applyFill="1" applyBorder="1"/>
    <xf numFmtId="0" fontId="1" fillId="38" borderId="23" xfId="0" applyFont="1" applyFill="1" applyBorder="1"/>
    <xf numFmtId="0" fontId="48" fillId="39" borderId="3" xfId="0" applyFont="1" applyFill="1" applyBorder="1"/>
    <xf numFmtId="0" fontId="0" fillId="29" borderId="0" xfId="0" applyFill="1"/>
    <xf numFmtId="0" fontId="29" fillId="29" borderId="0" xfId="0" applyFont="1" applyFill="1"/>
    <xf numFmtId="0" fontId="29" fillId="40" borderId="3" xfId="0" applyFont="1" applyFill="1" applyBorder="1"/>
    <xf numFmtId="0" fontId="29" fillId="41" borderId="3" xfId="0" applyFont="1" applyFill="1" applyBorder="1"/>
    <xf numFmtId="0" fontId="45" fillId="23" borderId="3" xfId="0" applyFont="1" applyFill="1" applyBorder="1"/>
    <xf numFmtId="0" fontId="29" fillId="37" borderId="3" xfId="0" applyFont="1" applyFill="1" applyBorder="1"/>
    <xf numFmtId="0" fontId="48" fillId="42" borderId="3" xfId="0" applyFont="1" applyFill="1" applyBorder="1"/>
    <xf numFmtId="0" fontId="48" fillId="23" borderId="3" xfId="0" applyFont="1" applyFill="1" applyBorder="1"/>
    <xf numFmtId="0" fontId="2" fillId="43" borderId="3" xfId="0" applyFont="1" applyFill="1" applyBorder="1"/>
    <xf numFmtId="0" fontId="29" fillId="38" borderId="3" xfId="0" applyFont="1" applyFill="1" applyBorder="1"/>
    <xf numFmtId="0" fontId="48" fillId="44" borderId="3" xfId="0" applyFont="1" applyFill="1" applyBorder="1"/>
    <xf numFmtId="0" fontId="45" fillId="43" borderId="3" xfId="0" applyFont="1" applyFill="1" applyBorder="1"/>
    <xf numFmtId="0" fontId="1" fillId="45" borderId="3" xfId="0" applyFont="1" applyFill="1" applyBorder="1"/>
    <xf numFmtId="0" fontId="29" fillId="43" borderId="3" xfId="0" applyFont="1" applyFill="1" applyBorder="1"/>
    <xf numFmtId="0" fontId="1" fillId="38" borderId="3" xfId="0" applyFont="1" applyFill="1" applyBorder="1"/>
    <xf numFmtId="0" fontId="29" fillId="24" borderId="3" xfId="0" applyFont="1" applyFill="1" applyBorder="1"/>
    <xf numFmtId="0" fontId="20" fillId="3" borderId="35" xfId="0" applyFont="1" applyFill="1" applyBorder="1" applyAlignment="1">
      <alignment horizontal="center" vertical="center"/>
    </xf>
    <xf numFmtId="0" fontId="12" fillId="0" borderId="24" xfId="0" applyFont="1" applyBorder="1"/>
    <xf numFmtId="0" fontId="12" fillId="0" borderId="36" xfId="0" applyFont="1" applyBorder="1"/>
    <xf numFmtId="0" fontId="18" fillId="0" borderId="43" xfId="0" applyFont="1" applyBorder="1" applyAlignment="1">
      <alignment horizontal="center" vertical="center"/>
    </xf>
    <xf numFmtId="0" fontId="12" fillId="0" borderId="2" xfId="0" applyFont="1" applyBorder="1"/>
    <xf numFmtId="0" fontId="12" fillId="0" borderId="7" xfId="0" applyFont="1" applyBorder="1"/>
    <xf numFmtId="0" fontId="18" fillId="0" borderId="35" xfId="0" applyFont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17" fillId="5" borderId="35" xfId="0" applyFont="1" applyFill="1" applyBorder="1" applyAlignment="1">
      <alignment horizontal="center" vertical="center"/>
    </xf>
    <xf numFmtId="164" fontId="8" fillId="0" borderId="35" xfId="0" applyNumberFormat="1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8" fillId="7" borderId="35" xfId="0" applyFont="1" applyFill="1" applyBorder="1" applyAlignment="1">
      <alignment horizontal="center" vertical="center"/>
    </xf>
    <xf numFmtId="0" fontId="18" fillId="3" borderId="35" xfId="0" applyFont="1" applyFill="1" applyBorder="1" applyAlignment="1">
      <alignment horizontal="center" vertical="center"/>
    </xf>
    <xf numFmtId="0" fontId="19" fillId="3" borderId="35" xfId="0" applyFont="1" applyFill="1" applyBorder="1" applyAlignment="1">
      <alignment horizontal="center" vertical="center"/>
    </xf>
    <xf numFmtId="0" fontId="17" fillId="5" borderId="42" xfId="0" applyFont="1" applyFill="1" applyBorder="1" applyAlignment="1">
      <alignment horizontal="center" vertical="center" wrapText="1"/>
    </xf>
    <xf numFmtId="0" fontId="12" fillId="0" borderId="1" xfId="0" applyFont="1" applyBorder="1"/>
    <xf numFmtId="0" fontId="12" fillId="0" borderId="6" xfId="0" applyFont="1" applyBorder="1"/>
    <xf numFmtId="0" fontId="12" fillId="0" borderId="43" xfId="0" applyFont="1" applyBorder="1"/>
    <xf numFmtId="0" fontId="8" fillId="3" borderId="42" xfId="0" applyFont="1" applyFill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6" fillId="4" borderId="42" xfId="0" applyFont="1" applyFill="1" applyBorder="1" applyAlignment="1">
      <alignment horizontal="center" vertical="center" wrapText="1"/>
    </xf>
    <xf numFmtId="0" fontId="8" fillId="6" borderId="42" xfId="0" applyFont="1" applyFill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/>
    </xf>
    <xf numFmtId="0" fontId="12" fillId="0" borderId="13" xfId="0" applyFont="1" applyBorder="1"/>
    <xf numFmtId="0" fontId="12" fillId="0" borderId="14" xfId="0" applyFont="1" applyBorder="1"/>
    <xf numFmtId="9" fontId="5" fillId="0" borderId="15" xfId="0" applyNumberFormat="1" applyFont="1" applyBorder="1" applyAlignment="1">
      <alignment horizontal="center" vertical="center"/>
    </xf>
    <xf numFmtId="0" fontId="12" fillId="0" borderId="4" xfId="0" applyFont="1" applyBorder="1"/>
    <xf numFmtId="9" fontId="5" fillId="0" borderId="37" xfId="0" applyNumberFormat="1" applyFont="1" applyBorder="1" applyAlignment="1">
      <alignment horizontal="center" vertical="center"/>
    </xf>
    <xf numFmtId="0" fontId="12" fillId="0" borderId="25" xfId="0" applyFont="1" applyBorder="1"/>
    <xf numFmtId="0" fontId="5" fillId="0" borderId="53" xfId="0" applyFont="1" applyBorder="1" applyAlignment="1">
      <alignment horizontal="center" vertical="center"/>
    </xf>
    <xf numFmtId="0" fontId="12" fillId="0" borderId="18" xfId="0" applyFont="1" applyBorder="1"/>
    <xf numFmtId="0" fontId="12" fillId="0" borderId="19" xfId="0" applyFont="1" applyBorder="1"/>
    <xf numFmtId="9" fontId="5" fillId="0" borderId="20" xfId="0" applyNumberFormat="1" applyFont="1" applyBorder="1" applyAlignment="1">
      <alignment horizontal="center" vertical="center"/>
    </xf>
    <xf numFmtId="0" fontId="12" fillId="0" borderId="21" xfId="0" applyFont="1" applyBorder="1"/>
    <xf numFmtId="0" fontId="22" fillId="0" borderId="53" xfId="0" applyFont="1" applyBorder="1" applyAlignment="1">
      <alignment horizontal="left" vertical="center"/>
    </xf>
    <xf numFmtId="9" fontId="10" fillId="0" borderId="12" xfId="0" applyNumberFormat="1" applyFont="1" applyBorder="1" applyAlignment="1">
      <alignment horizontal="center" vertical="center"/>
    </xf>
    <xf numFmtId="0" fontId="12" fillId="0" borderId="9" xfId="0" applyFont="1" applyBorder="1"/>
    <xf numFmtId="0" fontId="12" fillId="0" borderId="11" xfId="0" applyFont="1" applyBorder="1"/>
    <xf numFmtId="0" fontId="26" fillId="3" borderId="46" xfId="0" applyFont="1" applyFill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12" fillId="0" borderId="50" xfId="0" applyFont="1" applyBorder="1"/>
    <xf numFmtId="0" fontId="12" fillId="0" borderId="51" xfId="0" applyFont="1" applyBorder="1"/>
    <xf numFmtId="0" fontId="12" fillId="0" borderId="45" xfId="0" applyFont="1" applyBorder="1"/>
    <xf numFmtId="0" fontId="0" fillId="0" borderId="0" xfId="0"/>
    <xf numFmtId="0" fontId="12" fillId="0" borderId="22" xfId="0" applyFont="1" applyBorder="1"/>
    <xf numFmtId="0" fontId="18" fillId="2" borderId="23" xfId="0" applyFont="1" applyFill="1" applyBorder="1" applyAlignment="1">
      <alignment horizontal="center" vertical="center"/>
    </xf>
    <xf numFmtId="0" fontId="12" fillId="0" borderId="23" xfId="0" applyFont="1" applyBorder="1"/>
    <xf numFmtId="0" fontId="36" fillId="27" borderId="53" xfId="0" applyFont="1" applyFill="1" applyBorder="1" applyAlignment="1">
      <alignment horizontal="center" vertical="center"/>
    </xf>
    <xf numFmtId="0" fontId="12" fillId="28" borderId="18" xfId="0" applyFont="1" applyFill="1" applyBorder="1"/>
    <xf numFmtId="0" fontId="12" fillId="28" borderId="21" xfId="0" applyFont="1" applyFill="1" applyBorder="1"/>
    <xf numFmtId="0" fontId="37" fillId="5" borderId="35" xfId="0" applyFont="1" applyFill="1" applyBorder="1" applyAlignment="1">
      <alignment horizontal="center" vertical="center"/>
    </xf>
    <xf numFmtId="0" fontId="36" fillId="13" borderId="43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12" fillId="0" borderId="28" xfId="0" applyFont="1" applyBorder="1"/>
    <xf numFmtId="164" fontId="8" fillId="0" borderId="42" xfId="0" applyNumberFormat="1" applyFont="1" applyBorder="1" applyAlignment="1">
      <alignment horizontal="center" vertical="center"/>
    </xf>
    <xf numFmtId="0" fontId="33" fillId="14" borderId="53" xfId="0" applyFont="1" applyFill="1" applyBorder="1" applyAlignment="1">
      <alignment horizontal="center" vertical="center"/>
    </xf>
    <xf numFmtId="0" fontId="35" fillId="14" borderId="35" xfId="0" applyFont="1" applyFill="1" applyBorder="1" applyAlignment="1">
      <alignment horizontal="left" vertical="center"/>
    </xf>
    <xf numFmtId="0" fontId="35" fillId="23" borderId="53" xfId="0" applyFont="1" applyFill="1" applyBorder="1" applyAlignment="1">
      <alignment horizontal="center" vertical="center"/>
    </xf>
    <xf numFmtId="0" fontId="12" fillId="24" borderId="18" xfId="0" applyFont="1" applyFill="1" applyBorder="1"/>
    <xf numFmtId="0" fontId="12" fillId="24" borderId="21" xfId="0" applyFont="1" applyFill="1" applyBorder="1"/>
    <xf numFmtId="0" fontId="36" fillId="25" borderId="53" xfId="0" applyFont="1" applyFill="1" applyBorder="1" applyAlignment="1">
      <alignment horizontal="center" vertical="center"/>
    </xf>
    <xf numFmtId="0" fontId="12" fillId="26" borderId="18" xfId="0" applyFont="1" applyFill="1" applyBorder="1"/>
    <xf numFmtId="0" fontId="12" fillId="26" borderId="21" xfId="0" applyFont="1" applyFill="1" applyBorder="1"/>
    <xf numFmtId="0" fontId="36" fillId="6" borderId="53" xfId="0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 wrapText="1"/>
    </xf>
    <xf numFmtId="0" fontId="31" fillId="5" borderId="42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 wrapText="1"/>
    </xf>
    <xf numFmtId="0" fontId="30" fillId="3" borderId="35" xfId="0" applyFont="1" applyFill="1" applyBorder="1" applyAlignment="1">
      <alignment horizontal="center" vertical="center"/>
    </xf>
    <xf numFmtId="0" fontId="32" fillId="11" borderId="42" xfId="0" applyFont="1" applyFill="1" applyBorder="1" applyAlignment="1">
      <alignment horizontal="center" vertical="center" wrapText="1"/>
    </xf>
    <xf numFmtId="0" fontId="32" fillId="6" borderId="42" xfId="0" applyFont="1" applyFill="1" applyBorder="1" applyAlignment="1">
      <alignment horizontal="center" vertical="center" wrapText="1"/>
    </xf>
    <xf numFmtId="0" fontId="40" fillId="14" borderId="49" xfId="0" applyFont="1" applyFill="1" applyBorder="1" applyAlignment="1">
      <alignment horizontal="left" vertical="center"/>
    </xf>
    <xf numFmtId="169" fontId="40" fillId="14" borderId="45" xfId="0" applyNumberFormat="1" applyFont="1" applyFill="1" applyBorder="1" applyAlignment="1">
      <alignment vertical="center"/>
    </xf>
    <xf numFmtId="0" fontId="12" fillId="0" borderId="27" xfId="0" applyFont="1" applyBorder="1"/>
    <xf numFmtId="0" fontId="40" fillId="14" borderId="53" xfId="0" applyFont="1" applyFill="1" applyBorder="1" applyAlignment="1">
      <alignment horizontal="left" vertical="center"/>
    </xf>
    <xf numFmtId="169" fontId="40" fillId="14" borderId="43" xfId="0" applyNumberFormat="1" applyFont="1" applyFill="1" applyBorder="1"/>
    <xf numFmtId="0" fontId="22" fillId="14" borderId="46" xfId="0" applyFont="1" applyFill="1" applyBorder="1" applyAlignment="1">
      <alignment horizontal="center" vertical="center"/>
    </xf>
    <xf numFmtId="9" fontId="22" fillId="14" borderId="15" xfId="0" applyNumberFormat="1" applyFont="1" applyFill="1" applyBorder="1" applyAlignment="1">
      <alignment horizontal="center" vertical="center"/>
    </xf>
    <xf numFmtId="9" fontId="22" fillId="14" borderId="37" xfId="0" applyNumberFormat="1" applyFont="1" applyFill="1" applyBorder="1" applyAlignment="1">
      <alignment horizontal="center" vertical="center"/>
    </xf>
    <xf numFmtId="0" fontId="22" fillId="14" borderId="53" xfId="0" applyFont="1" applyFill="1" applyBorder="1" applyAlignment="1">
      <alignment horizontal="center" vertical="center"/>
    </xf>
    <xf numFmtId="9" fontId="22" fillId="14" borderId="20" xfId="0" applyNumberFormat="1" applyFont="1" applyFill="1" applyBorder="1" applyAlignment="1">
      <alignment horizontal="center" vertical="center"/>
    </xf>
    <xf numFmtId="165" fontId="40" fillId="14" borderId="45" xfId="0" applyNumberFormat="1" applyFont="1" applyFill="1" applyBorder="1"/>
    <xf numFmtId="169" fontId="40" fillId="14" borderId="45" xfId="0" applyNumberFormat="1" applyFont="1" applyFill="1" applyBorder="1"/>
    <xf numFmtId="0" fontId="41" fillId="6" borderId="42" xfId="0" applyFont="1" applyFill="1" applyBorder="1" applyAlignment="1">
      <alignment horizontal="center" vertical="center"/>
    </xf>
    <xf numFmtId="169" fontId="22" fillId="6" borderId="42" xfId="0" applyNumberFormat="1" applyFont="1" applyFill="1" applyBorder="1" applyAlignment="1">
      <alignment vertical="center"/>
    </xf>
    <xf numFmtId="0" fontId="5" fillId="14" borderId="42" xfId="0" applyFont="1" applyFill="1" applyBorder="1" applyAlignment="1">
      <alignment horizontal="center" vertical="center" wrapText="1"/>
    </xf>
    <xf numFmtId="0" fontId="22" fillId="14" borderId="42" xfId="0" applyFont="1" applyFill="1" applyBorder="1" applyAlignment="1">
      <alignment horizontal="center" vertical="center"/>
    </xf>
    <xf numFmtId="0" fontId="12" fillId="0" borderId="5" xfId="0" applyFont="1" applyBorder="1"/>
    <xf numFmtId="9" fontId="33" fillId="14" borderId="32" xfId="0" applyNumberFormat="1" applyFont="1" applyFill="1" applyBorder="1" applyAlignment="1">
      <alignment horizontal="center" vertical="center"/>
    </xf>
    <xf numFmtId="0" fontId="36" fillId="3" borderId="35" xfId="0" applyFont="1" applyFill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5" fillId="5" borderId="35" xfId="0" applyFont="1" applyFill="1" applyBorder="1" applyAlignment="1">
      <alignment horizontal="left" vertical="center"/>
    </xf>
    <xf numFmtId="0" fontId="35" fillId="11" borderId="35" xfId="0" applyFont="1" applyFill="1" applyBorder="1" applyAlignment="1">
      <alignment horizontal="left" vertical="center"/>
    </xf>
    <xf numFmtId="0" fontId="36" fillId="6" borderId="35" xfId="0" applyFont="1" applyFill="1" applyBorder="1" applyAlignment="1">
      <alignment horizontal="center" vertical="center"/>
    </xf>
    <xf numFmtId="0" fontId="40" fillId="14" borderId="18" xfId="0" applyFont="1" applyFill="1" applyBorder="1" applyAlignment="1">
      <alignment horizontal="left" vertical="center"/>
    </xf>
    <xf numFmtId="0" fontId="22" fillId="14" borderId="35" xfId="0" applyFont="1" applyFill="1" applyBorder="1" applyAlignment="1">
      <alignment vertical="center"/>
    </xf>
    <xf numFmtId="169" fontId="22" fillId="14" borderId="43" xfId="0" applyNumberFormat="1" applyFont="1" applyFill="1" applyBorder="1" applyAlignment="1">
      <alignment vertical="center"/>
    </xf>
    <xf numFmtId="170" fontId="36" fillId="14" borderId="24" xfId="0" applyNumberFormat="1" applyFont="1" applyFill="1" applyBorder="1" applyAlignment="1">
      <alignment horizontal="center" vertical="center"/>
    </xf>
    <xf numFmtId="0" fontId="40" fillId="0" borderId="49" xfId="0" applyFont="1" applyBorder="1" applyAlignment="1">
      <alignment horizontal="left" vertical="center"/>
    </xf>
    <xf numFmtId="169" fontId="40" fillId="0" borderId="45" xfId="0" applyNumberFormat="1" applyFont="1" applyBorder="1" applyAlignment="1">
      <alignment vertical="center"/>
    </xf>
    <xf numFmtId="169" fontId="40" fillId="0" borderId="45" xfId="0" applyNumberFormat="1" applyFont="1" applyBorder="1"/>
    <xf numFmtId="170" fontId="36" fillId="8" borderId="24" xfId="0" applyNumberFormat="1" applyFont="1" applyFill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9" fontId="22" fillId="0" borderId="15" xfId="0" applyNumberFormat="1" applyFont="1" applyBorder="1" applyAlignment="1">
      <alignment horizontal="center" vertical="center"/>
    </xf>
    <xf numFmtId="9" fontId="22" fillId="0" borderId="37" xfId="0" applyNumberFormat="1" applyFont="1" applyBorder="1" applyAlignment="1">
      <alignment horizontal="center" vertical="center"/>
    </xf>
    <xf numFmtId="0" fontId="22" fillId="0" borderId="53" xfId="0" applyFont="1" applyBorder="1" applyAlignment="1">
      <alignment horizontal="center" vertical="center"/>
    </xf>
    <xf numFmtId="9" fontId="22" fillId="0" borderId="20" xfId="0" applyNumberFormat="1" applyFont="1" applyBorder="1" applyAlignment="1">
      <alignment horizontal="center" vertical="center"/>
    </xf>
    <xf numFmtId="165" fontId="40" fillId="0" borderId="45" xfId="0" applyNumberFormat="1" applyFont="1" applyBorder="1"/>
    <xf numFmtId="0" fontId="40" fillId="0" borderId="53" xfId="0" applyFont="1" applyBorder="1" applyAlignment="1">
      <alignment horizontal="left" vertical="center"/>
    </xf>
    <xf numFmtId="0" fontId="22" fillId="0" borderId="42" xfId="0" applyFont="1" applyBorder="1" applyAlignment="1">
      <alignment horizontal="center" vertical="center"/>
    </xf>
    <xf numFmtId="9" fontId="33" fillId="0" borderId="32" xfId="0" applyNumberFormat="1" applyFont="1" applyBorder="1" applyAlignment="1">
      <alignment horizontal="center" vertical="center"/>
    </xf>
    <xf numFmtId="169" fontId="22" fillId="8" borderId="42" xfId="0" applyNumberFormat="1" applyFont="1" applyFill="1" applyBorder="1" applyAlignment="1">
      <alignment vertical="center"/>
    </xf>
    <xf numFmtId="169" fontId="40" fillId="0" borderId="43" xfId="0" applyNumberFormat="1" applyFont="1" applyBorder="1"/>
    <xf numFmtId="0" fontId="40" fillId="0" borderId="18" xfId="0" applyFont="1" applyBorder="1" applyAlignment="1">
      <alignment horizontal="left" vertical="center"/>
    </xf>
    <xf numFmtId="0" fontId="5" fillId="0" borderId="42" xfId="0" applyFont="1" applyBorder="1" applyAlignment="1">
      <alignment horizontal="center" vertical="center" wrapText="1"/>
    </xf>
    <xf numFmtId="0" fontId="22" fillId="0" borderId="35" xfId="0" applyFont="1" applyBorder="1" applyAlignment="1">
      <alignment vertical="center"/>
    </xf>
    <xf numFmtId="169" fontId="22" fillId="0" borderId="43" xfId="0" applyNumberFormat="1" applyFont="1" applyBorder="1" applyAlignment="1">
      <alignment vertical="center"/>
    </xf>
    <xf numFmtId="0" fontId="33" fillId="0" borderId="35" xfId="0" applyFont="1" applyBorder="1" applyAlignment="1">
      <alignment horizontal="center" vertical="center"/>
    </xf>
    <xf numFmtId="169" fontId="40" fillId="0" borderId="8" xfId="0" applyNumberFormat="1" applyFont="1" applyBorder="1"/>
    <xf numFmtId="169" fontId="40" fillId="0" borderId="8" xfId="0" applyNumberFormat="1" applyFont="1" applyBorder="1" applyAlignment="1">
      <alignment vertical="center"/>
    </xf>
    <xf numFmtId="0" fontId="12" fillId="0" borderId="10" xfId="0" applyFont="1" applyBorder="1"/>
    <xf numFmtId="0" fontId="35" fillId="30" borderId="35" xfId="0" applyFont="1" applyFill="1" applyBorder="1" applyAlignment="1">
      <alignment horizontal="left" vertical="center"/>
    </xf>
    <xf numFmtId="0" fontId="12" fillId="30" borderId="24" xfId="0" applyFont="1" applyFill="1" applyBorder="1"/>
    <xf numFmtId="0" fontId="12" fillId="30" borderId="36" xfId="0" applyFont="1" applyFill="1" applyBorder="1"/>
    <xf numFmtId="0" fontId="36" fillId="31" borderId="35" xfId="0" applyFont="1" applyFill="1" applyBorder="1" applyAlignment="1">
      <alignment horizontal="center" vertical="center"/>
    </xf>
    <xf numFmtId="0" fontId="12" fillId="31" borderId="24" xfId="0" applyFont="1" applyFill="1" applyBorder="1"/>
    <xf numFmtId="0" fontId="12" fillId="31" borderId="36" xfId="0" applyFont="1" applyFill="1" applyBorder="1"/>
    <xf numFmtId="0" fontId="36" fillId="28" borderId="35" xfId="0" applyFont="1" applyFill="1" applyBorder="1" applyAlignment="1">
      <alignment horizontal="center" vertical="center"/>
    </xf>
    <xf numFmtId="0" fontId="12" fillId="28" borderId="24" xfId="0" applyFont="1" applyFill="1" applyBorder="1"/>
    <xf numFmtId="0" fontId="12" fillId="28" borderId="36" xfId="0" applyFont="1" applyFill="1" applyBorder="1"/>
    <xf numFmtId="0" fontId="36" fillId="30" borderId="35" xfId="0" applyFont="1" applyFill="1" applyBorder="1" applyAlignment="1">
      <alignment horizontal="center" vertical="center"/>
    </xf>
    <xf numFmtId="0" fontId="36" fillId="30" borderId="53" xfId="0" applyFont="1" applyFill="1" applyBorder="1" applyAlignment="1">
      <alignment horizontal="center" vertical="center"/>
    </xf>
    <xf numFmtId="0" fontId="12" fillId="30" borderId="18" xfId="0" applyFont="1" applyFill="1" applyBorder="1"/>
    <xf numFmtId="0" fontId="12" fillId="30" borderId="21" xfId="0" applyFont="1" applyFill="1" applyBorder="1"/>
    <xf numFmtId="0" fontId="36" fillId="31" borderId="53" xfId="0" applyFont="1" applyFill="1" applyBorder="1" applyAlignment="1">
      <alignment horizontal="center" vertical="center"/>
    </xf>
    <xf numFmtId="0" fontId="12" fillId="31" borderId="18" xfId="0" applyFont="1" applyFill="1" applyBorder="1"/>
    <xf numFmtId="0" fontId="12" fillId="31" borderId="21" xfId="0" applyFont="1" applyFill="1" applyBorder="1"/>
    <xf numFmtId="0" fontId="36" fillId="28" borderId="53" xfId="0" applyFont="1" applyFill="1" applyBorder="1" applyAlignment="1">
      <alignment horizontal="center" vertical="center"/>
    </xf>
    <xf numFmtId="0" fontId="36" fillId="33" borderId="35" xfId="0" applyFont="1" applyFill="1" applyBorder="1" applyAlignment="1">
      <alignment horizontal="center" vertical="center"/>
    </xf>
    <xf numFmtId="0" fontId="36" fillId="26" borderId="35" xfId="0" applyFont="1" applyFill="1" applyBorder="1" applyAlignment="1">
      <alignment horizontal="center" vertical="center"/>
    </xf>
    <xf numFmtId="0" fontId="12" fillId="26" borderId="24" xfId="0" applyFont="1" applyFill="1" applyBorder="1"/>
    <xf numFmtId="0" fontId="12" fillId="26" borderId="36" xfId="0" applyFont="1" applyFill="1" applyBorder="1"/>
    <xf numFmtId="0" fontId="36" fillId="36" borderId="35" xfId="0" applyFont="1" applyFill="1" applyBorder="1" applyAlignment="1">
      <alignment horizontal="center" vertical="center"/>
    </xf>
    <xf numFmtId="0" fontId="49" fillId="0" borderId="0" xfId="0" applyFont="1"/>
  </cellXfs>
  <cellStyles count="1">
    <cellStyle name="Normal" xfId="0" builtinId="0"/>
  </cellStyles>
  <dxfs count="8"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FF00FF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4" Type="http://customschemas.google.com/relationships/workbookmetadata" Target="metadata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48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73</xdr:row>
      <xdr:rowOff>171450</xdr:rowOff>
    </xdr:from>
    <xdr:ext cx="10201275" cy="6315075"/>
    <xdr:pic>
      <xdr:nvPicPr>
        <xdr:cNvPr id="1556184540" name="Chart16" title="Graphique">
          <a:extLst>
            <a:ext uri="{FF2B5EF4-FFF2-40B4-BE49-F238E27FC236}">
              <a16:creationId xmlns:a16="http://schemas.microsoft.com/office/drawing/2014/main" id="{00000000-0008-0000-1400-0000DC7DC15C}"/>
            </a:ext>
            <a:ext uri="GoogleSheetsCustomDataVersion1">
              <go:sheetsCustomData xmlns:go="http://customooxmlschemas.google.com/" xmlns:sle15="http://schemas.microsoft.com/office/drawing/2012/slicer" xmlns:x3Unk="http://schemas.microsoft.com/office/drawing/2010/slicer" xmlns:dgm="http://schemas.openxmlformats.org/drawingml/2006/diagram" xmlns:mc="http://schemas.openxmlformats.org/markup-compatibility/2006" xmlns:cx1="http://schemas.microsoft.com/office/drawing/2015/9/8/chartex" xmlns:cx="http://schemas.microsoft.com/office/drawing/2014/chartex" xmlns:c="http://schemas.openxmlformats.org/drawingml/2006/chart" xmlns:r="http://schemas.openxmlformats.org/officeDocument/2006/relationships" xmlns="" pictureOfChart="1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73</xdr:row>
      <xdr:rowOff>171450</xdr:rowOff>
    </xdr:from>
    <xdr:ext cx="10201275" cy="6315075"/>
    <xdr:pic>
      <xdr:nvPicPr>
        <xdr:cNvPr id="2" name="Chart16" title="Graphique">
          <a:extLst>
            <a:ext uri="{FF2B5EF4-FFF2-40B4-BE49-F238E27FC236}">
              <a16:creationId xmlns:a16="http://schemas.microsoft.com/office/drawing/2014/main" id="{6DB08423-CE4F-4C54-A915-F2D7D42530FA}"/>
            </a:ext>
            <a:ext uri="GoogleSheetsCustomDataVersion1">
              <go:sheetsCustomData xmlns:go="http://customooxmlschemas.google.com/" xmlns:sle15="http://schemas.microsoft.com/office/drawing/2012/slicer" xmlns:x3Unk="http://schemas.microsoft.com/office/drawing/2010/slicer" xmlns:dgm="http://schemas.openxmlformats.org/drawingml/2006/diagram" xmlns:mc="http://schemas.openxmlformats.org/markup-compatibility/2006" xmlns:cx1="http://schemas.microsoft.com/office/drawing/2015/9/8/chartex" xmlns:cx="http://schemas.microsoft.com/office/drawing/2014/chartex" xmlns:c="http://schemas.openxmlformats.org/drawingml/2006/chart" xmlns:r="http://schemas.openxmlformats.org/officeDocument/2006/relationships" xmlns="" pictureOfChart="1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76675" y="16097250"/>
          <a:ext cx="10201275" cy="631507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676275</xdr:colOff>
      <xdr:row>13</xdr:row>
      <xdr:rowOff>171450</xdr:rowOff>
    </xdr:from>
    <xdr:ext cx="6934200" cy="42862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AFADCE-4450-4B23-847E-E949511A765C}">
  <we:reference id="wa200005271" version="2.4.3.0" store="en-US" storeType="OMEX"/>
  <we:alternateReferences>
    <we:reference id="wa200005271" version="2.4.3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92D050"/>
    <pageSetUpPr fitToPage="1"/>
  </sheetPr>
  <dimension ref="A1:CC73"/>
  <sheetViews>
    <sheetView showGridLines="0" workbookViewId="0">
      <pane ySplit="3" topLeftCell="A4" activePane="bottomLeft" state="frozen"/>
      <selection pane="bottomLeft" activeCell="B5" sqref="B5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9" width="5" customWidth="1"/>
    <col min="10" max="10" width="4.85546875" customWidth="1"/>
    <col min="11" max="11" width="5.5703125" customWidth="1"/>
    <col min="12" max="12" width="6.140625" customWidth="1"/>
    <col min="13" max="13" width="7.7109375" customWidth="1"/>
    <col min="14" max="14" width="6.140625" customWidth="1"/>
    <col min="15" max="15" width="7.7109375" customWidth="1"/>
    <col min="16" max="16" width="2.42578125" customWidth="1"/>
    <col min="17" max="17" width="6" customWidth="1"/>
    <col min="18" max="18" width="5.85546875" customWidth="1"/>
    <col min="19" max="19" width="7.7109375" customWidth="1"/>
    <col min="20" max="20" width="5.28515625" customWidth="1"/>
    <col min="21" max="21" width="7.7109375" customWidth="1"/>
    <col min="22" max="22" width="4.5703125" customWidth="1"/>
    <col min="23" max="23" width="6" customWidth="1"/>
    <col min="24" max="24" width="5.42578125" customWidth="1"/>
    <col min="25" max="25" width="7.7109375" customWidth="1"/>
    <col min="26" max="26" width="5.85546875" hidden="1" customWidth="1"/>
    <col min="27" max="27" width="7.7109375" hidden="1" customWidth="1"/>
    <col min="28" max="28" width="2.42578125" hidden="1" customWidth="1"/>
    <col min="29" max="29" width="6" hidden="1" customWidth="1"/>
    <col min="30" max="30" width="5.85546875" hidden="1" customWidth="1"/>
    <col min="31" max="31" width="7.7109375" hidden="1" customWidth="1"/>
    <col min="32" max="32" width="5.7109375" hidden="1" customWidth="1"/>
    <col min="33" max="33" width="7.7109375" hidden="1" customWidth="1"/>
    <col min="34" max="34" width="3.7109375" hidden="1" customWidth="1"/>
    <col min="35" max="35" width="6" hidden="1" customWidth="1"/>
    <col min="36" max="36" width="5.42578125" hidden="1" customWidth="1"/>
    <col min="37" max="37" width="7.7109375" hidden="1" customWidth="1"/>
    <col min="38" max="38" width="11.140625" hidden="1" customWidth="1"/>
    <col min="39" max="39" width="32.5703125" hidden="1" customWidth="1"/>
    <col min="40" max="40" width="7.7109375" hidden="1" customWidth="1"/>
    <col min="41" max="41" width="2.42578125" hidden="1" customWidth="1"/>
    <col min="42" max="42" width="6" hidden="1" customWidth="1"/>
    <col min="43" max="43" width="5.85546875" hidden="1" customWidth="1"/>
    <col min="44" max="44" width="7.7109375" hidden="1" customWidth="1"/>
    <col min="45" max="45" width="5.7109375" customWidth="1"/>
    <col min="46" max="46" width="10.5703125" customWidth="1"/>
    <col min="47" max="47" width="3.7109375" customWidth="1"/>
    <col min="48" max="48" width="6" customWidth="1"/>
    <col min="49" max="49" width="5.42578125" customWidth="1"/>
    <col min="50" max="50" width="7.7109375" customWidth="1"/>
    <col min="51" max="51" width="11.140625" hidden="1" customWidth="1"/>
    <col min="52" max="52" width="32.5703125" hidden="1" customWidth="1"/>
    <col min="53" max="53" width="7.7109375" hidden="1" customWidth="1"/>
    <col min="54" max="54" width="2.42578125" hidden="1" customWidth="1"/>
    <col min="55" max="55" width="6" hidden="1" customWidth="1"/>
    <col min="56" max="56" width="5.85546875" hidden="1" customWidth="1"/>
    <col min="57" max="57" width="7.7109375" hidden="1" customWidth="1"/>
    <col min="58" max="58" width="5.140625" customWidth="1"/>
    <col min="59" max="59" width="5.28515625" customWidth="1"/>
    <col min="60" max="60" width="4.5703125" customWidth="1"/>
    <col min="61" max="61" width="5.28515625" customWidth="1"/>
    <col min="62" max="62" width="5.85546875" customWidth="1"/>
    <col min="63" max="63" width="10" customWidth="1"/>
    <col min="64" max="64" width="6" hidden="1" customWidth="1"/>
    <col min="65" max="65" width="7.7109375" hidden="1" customWidth="1"/>
    <col min="66" max="66" width="2.42578125" hidden="1" customWidth="1"/>
    <col min="67" max="67" width="6" hidden="1" customWidth="1"/>
    <col min="68" max="68" width="4.85546875" hidden="1" customWidth="1"/>
    <col min="69" max="69" width="7.7109375" hidden="1" customWidth="1"/>
    <col min="70" max="70" width="6" hidden="1" customWidth="1"/>
    <col min="71" max="71" width="7.7109375" hidden="1" customWidth="1"/>
    <col min="72" max="72" width="2.42578125" hidden="1" customWidth="1"/>
    <col min="73" max="73" width="6" hidden="1" customWidth="1"/>
    <col min="74" max="74" width="6.42578125" hidden="1" customWidth="1"/>
    <col min="75" max="75" width="10.5703125" hidden="1" customWidth="1"/>
    <col min="76" max="76" width="8" customWidth="1"/>
    <col min="77" max="77" width="5.28515625" customWidth="1"/>
    <col min="78" max="78" width="4.5703125" customWidth="1"/>
    <col min="79" max="79" width="5.28515625" customWidth="1"/>
    <col min="80" max="80" width="6.140625" customWidth="1"/>
    <col min="81" max="81" width="7.7109375" customWidth="1"/>
  </cols>
  <sheetData>
    <row r="1" spans="1:81" ht="12.75" customHeight="1">
      <c r="A1" s="1">
        <f>+B3</f>
        <v>44984</v>
      </c>
      <c r="B1" s="2"/>
      <c r="C1" s="3"/>
      <c r="D1" s="3"/>
      <c r="E1" s="3"/>
      <c r="F1" s="3"/>
      <c r="G1" s="3"/>
      <c r="H1" s="4"/>
      <c r="I1" s="3"/>
      <c r="J1" s="3"/>
      <c r="K1" s="3"/>
      <c r="L1" s="191"/>
      <c r="M1" s="191"/>
      <c r="N1" s="191"/>
      <c r="O1" s="191"/>
      <c r="P1" s="191"/>
      <c r="Q1" s="192"/>
      <c r="R1" s="191"/>
      <c r="S1" s="193"/>
      <c r="T1" s="191"/>
      <c r="U1" s="194"/>
      <c r="V1" s="195"/>
      <c r="W1" s="191"/>
      <c r="X1" s="196"/>
      <c r="Y1" s="197"/>
      <c r="Z1" s="191"/>
      <c r="AA1" s="194"/>
      <c r="AB1" s="195"/>
      <c r="AC1" s="195"/>
      <c r="AD1" s="198"/>
      <c r="AE1" s="197"/>
      <c r="AF1" s="191"/>
      <c r="AG1" s="195"/>
      <c r="AH1" s="191"/>
      <c r="AI1" s="191"/>
      <c r="AJ1" s="191"/>
      <c r="AK1" s="191"/>
      <c r="AL1" s="3"/>
      <c r="AM1" s="3"/>
      <c r="AN1" s="3"/>
      <c r="AO1" s="3"/>
      <c r="AP1" s="3"/>
      <c r="AQ1" s="3"/>
      <c r="AR1" s="3"/>
      <c r="AS1" s="191"/>
      <c r="AT1" s="195"/>
      <c r="AU1" s="191"/>
      <c r="AV1" s="191"/>
      <c r="AW1" s="191"/>
      <c r="AX1" s="191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</row>
    <row r="2" spans="1:81" ht="21" customHeight="1">
      <c r="A2" s="5"/>
      <c r="B2" s="449" t="s">
        <v>0</v>
      </c>
      <c r="C2" s="432"/>
      <c r="D2" s="450">
        <v>9</v>
      </c>
      <c r="E2" s="432"/>
      <c r="F2" s="6"/>
      <c r="G2" s="7"/>
      <c r="H2" s="451" t="s">
        <v>1</v>
      </c>
      <c r="I2" s="445"/>
      <c r="J2" s="445"/>
      <c r="K2" s="445"/>
      <c r="L2" s="445"/>
      <c r="M2" s="446"/>
      <c r="N2" s="444" t="s">
        <v>2</v>
      </c>
      <c r="O2" s="445"/>
      <c r="P2" s="445"/>
      <c r="Q2" s="445"/>
      <c r="R2" s="445"/>
      <c r="S2" s="446"/>
      <c r="T2" s="452" t="s">
        <v>3</v>
      </c>
      <c r="U2" s="445"/>
      <c r="V2" s="445"/>
      <c r="W2" s="445"/>
      <c r="X2" s="445"/>
      <c r="Y2" s="446"/>
      <c r="Z2" s="444" t="s">
        <v>4</v>
      </c>
      <c r="AA2" s="445"/>
      <c r="AB2" s="445"/>
      <c r="AC2" s="445"/>
      <c r="AD2" s="445"/>
      <c r="AE2" s="446"/>
      <c r="AF2" s="444" t="s">
        <v>5</v>
      </c>
      <c r="AG2" s="445"/>
      <c r="AH2" s="445"/>
      <c r="AI2" s="445"/>
      <c r="AJ2" s="445"/>
      <c r="AK2" s="446"/>
      <c r="AL2" s="8"/>
      <c r="AM2" s="8"/>
      <c r="AN2" s="8"/>
      <c r="AO2" s="8"/>
      <c r="AP2" s="8"/>
      <c r="AQ2" s="8"/>
      <c r="AR2" s="8"/>
      <c r="AS2" s="444" t="s">
        <v>6</v>
      </c>
      <c r="AT2" s="445"/>
      <c r="AU2" s="445"/>
      <c r="AV2" s="445"/>
      <c r="AW2" s="445"/>
      <c r="AX2" s="446"/>
      <c r="AY2" s="8"/>
      <c r="AZ2" s="8"/>
      <c r="BA2" s="8"/>
      <c r="BB2" s="8"/>
      <c r="BC2" s="8"/>
      <c r="BD2" s="8"/>
      <c r="BE2" s="8"/>
      <c r="BF2" s="448" t="s">
        <v>7</v>
      </c>
      <c r="BG2" s="445"/>
      <c r="BH2" s="445"/>
      <c r="BI2" s="445"/>
      <c r="BJ2" s="445"/>
      <c r="BK2" s="445"/>
      <c r="BL2" s="445"/>
      <c r="BM2" s="445"/>
      <c r="BN2" s="445"/>
      <c r="BO2" s="445"/>
      <c r="BP2" s="445"/>
      <c r="BQ2" s="445"/>
      <c r="BR2" s="445"/>
      <c r="BS2" s="445"/>
      <c r="BT2" s="445"/>
      <c r="BU2" s="445"/>
      <c r="BV2" s="445"/>
      <c r="BW2" s="445"/>
      <c r="BX2" s="445"/>
      <c r="BY2" s="445"/>
      <c r="BZ2" s="445"/>
      <c r="CA2" s="445"/>
      <c r="CB2" s="445"/>
      <c r="CC2" s="446"/>
    </row>
    <row r="3" spans="1:81" ht="21" customHeight="1">
      <c r="A3" s="5"/>
      <c r="B3" s="439">
        <v>44984</v>
      </c>
      <c r="C3" s="431"/>
      <c r="D3" s="431"/>
      <c r="E3" s="432"/>
      <c r="F3" s="9"/>
      <c r="G3" s="9"/>
      <c r="H3" s="447"/>
      <c r="I3" s="434"/>
      <c r="J3" s="434"/>
      <c r="K3" s="434"/>
      <c r="L3" s="434"/>
      <c r="M3" s="435"/>
      <c r="N3" s="447"/>
      <c r="O3" s="434"/>
      <c r="P3" s="434"/>
      <c r="Q3" s="434"/>
      <c r="R3" s="434"/>
      <c r="S3" s="435"/>
      <c r="T3" s="447"/>
      <c r="U3" s="434"/>
      <c r="V3" s="434"/>
      <c r="W3" s="434"/>
      <c r="X3" s="434"/>
      <c r="Y3" s="435"/>
      <c r="Z3" s="447"/>
      <c r="AA3" s="434"/>
      <c r="AB3" s="434"/>
      <c r="AC3" s="434"/>
      <c r="AD3" s="434"/>
      <c r="AE3" s="435"/>
      <c r="AF3" s="447"/>
      <c r="AG3" s="434"/>
      <c r="AH3" s="434"/>
      <c r="AI3" s="434"/>
      <c r="AJ3" s="434"/>
      <c r="AK3" s="435"/>
      <c r="AL3" s="10"/>
      <c r="AM3" s="10"/>
      <c r="AN3" s="10"/>
      <c r="AO3" s="10"/>
      <c r="AP3" s="10"/>
      <c r="AQ3" s="10"/>
      <c r="AR3" s="10"/>
      <c r="AS3" s="447"/>
      <c r="AT3" s="434"/>
      <c r="AU3" s="434"/>
      <c r="AV3" s="434"/>
      <c r="AW3" s="434"/>
      <c r="AX3" s="435"/>
      <c r="AY3" s="10"/>
      <c r="AZ3" s="10"/>
      <c r="BA3" s="10"/>
      <c r="BB3" s="10"/>
      <c r="BC3" s="10"/>
      <c r="BD3" s="10"/>
      <c r="BE3" s="10"/>
      <c r="BF3" s="447"/>
      <c r="BG3" s="434"/>
      <c r="BH3" s="434"/>
      <c r="BI3" s="434"/>
      <c r="BJ3" s="434"/>
      <c r="BK3" s="434"/>
      <c r="BL3" s="434"/>
      <c r="BM3" s="434"/>
      <c r="BN3" s="434"/>
      <c r="BO3" s="434"/>
      <c r="BP3" s="434"/>
      <c r="BQ3" s="434"/>
      <c r="BR3" s="434"/>
      <c r="BS3" s="434"/>
      <c r="BT3" s="434"/>
      <c r="BU3" s="434"/>
      <c r="BV3" s="434"/>
      <c r="BW3" s="434"/>
      <c r="BX3" s="434"/>
      <c r="BY3" s="434"/>
      <c r="BZ3" s="434"/>
      <c r="CA3" s="434"/>
      <c r="CB3" s="434"/>
      <c r="CC3" s="435"/>
    </row>
    <row r="4" spans="1:81" ht="21" customHeight="1">
      <c r="A4" s="11">
        <v>27</v>
      </c>
      <c r="B4" s="440" t="s">
        <v>8</v>
      </c>
      <c r="C4" s="432"/>
      <c r="D4" s="440" t="s">
        <v>9</v>
      </c>
      <c r="E4" s="432"/>
      <c r="F4" s="201" t="s">
        <v>10</v>
      </c>
      <c r="G4" s="200"/>
      <c r="H4" s="441" t="s">
        <v>11</v>
      </c>
      <c r="I4" s="431"/>
      <c r="J4" s="431"/>
      <c r="K4" s="431"/>
      <c r="L4" s="431"/>
      <c r="M4" s="432"/>
      <c r="N4" s="442" t="s">
        <v>12</v>
      </c>
      <c r="O4" s="431"/>
      <c r="P4" s="431"/>
      <c r="Q4" s="431"/>
      <c r="R4" s="431"/>
      <c r="S4" s="432"/>
      <c r="T4" s="443" t="s">
        <v>13</v>
      </c>
      <c r="U4" s="431"/>
      <c r="V4" s="431"/>
      <c r="W4" s="431"/>
      <c r="X4" s="431"/>
      <c r="Y4" s="432"/>
      <c r="Z4" s="430" t="s">
        <v>14</v>
      </c>
      <c r="AA4" s="431"/>
      <c r="AB4" s="431"/>
      <c r="AC4" s="431"/>
      <c r="AD4" s="431"/>
      <c r="AE4" s="432"/>
      <c r="AF4" s="430" t="s">
        <v>15</v>
      </c>
      <c r="AG4" s="431"/>
      <c r="AH4" s="431"/>
      <c r="AI4" s="431"/>
      <c r="AJ4" s="431"/>
      <c r="AK4" s="432"/>
      <c r="AL4" s="12"/>
      <c r="AM4" s="433" t="s">
        <v>16</v>
      </c>
      <c r="AN4" s="434"/>
      <c r="AO4" s="434"/>
      <c r="AP4" s="434"/>
      <c r="AQ4" s="434"/>
      <c r="AR4" s="435"/>
      <c r="AS4" s="430" t="s">
        <v>17</v>
      </c>
      <c r="AT4" s="431"/>
      <c r="AU4" s="431"/>
      <c r="AV4" s="431"/>
      <c r="AW4" s="431"/>
      <c r="AX4" s="432"/>
      <c r="AY4" s="12"/>
      <c r="AZ4" s="436" t="s">
        <v>16</v>
      </c>
      <c r="BA4" s="431"/>
      <c r="BB4" s="431"/>
      <c r="BC4" s="431"/>
      <c r="BD4" s="431"/>
      <c r="BE4" s="432"/>
      <c r="BF4" s="437" t="s">
        <v>18</v>
      </c>
      <c r="BG4" s="431"/>
      <c r="BH4" s="431"/>
      <c r="BI4" s="431"/>
      <c r="BJ4" s="431"/>
      <c r="BK4" s="432"/>
      <c r="BL4" s="438" t="s">
        <v>19</v>
      </c>
      <c r="BM4" s="431"/>
      <c r="BN4" s="431"/>
      <c r="BO4" s="431"/>
      <c r="BP4" s="431"/>
      <c r="BQ4" s="432"/>
      <c r="BR4" s="438" t="s">
        <v>20</v>
      </c>
      <c r="BS4" s="431"/>
      <c r="BT4" s="431"/>
      <c r="BU4" s="431"/>
      <c r="BV4" s="431"/>
      <c r="BW4" s="432"/>
      <c r="BX4" s="437" t="s">
        <v>21</v>
      </c>
      <c r="BY4" s="431"/>
      <c r="BZ4" s="431"/>
      <c r="CA4" s="431"/>
      <c r="CB4" s="431"/>
      <c r="CC4" s="432"/>
    </row>
    <row r="5" spans="1:81" ht="21" customHeight="1">
      <c r="A5" s="202"/>
      <c r="B5" s="203" t="s">
        <v>22</v>
      </c>
      <c r="C5" s="204">
        <v>100</v>
      </c>
      <c r="D5" s="203" t="s">
        <v>22</v>
      </c>
      <c r="E5" s="205"/>
      <c r="F5" s="203" t="s">
        <v>22</v>
      </c>
      <c r="G5" s="13">
        <f t="shared" ref="G5:G6" si="0">+C5+E5</f>
        <v>100</v>
      </c>
      <c r="H5" s="206" t="s">
        <v>23</v>
      </c>
      <c r="I5" s="14">
        <v>0</v>
      </c>
      <c r="J5" s="15">
        <f>+I5*C5</f>
        <v>0</v>
      </c>
      <c r="K5" s="207" t="s">
        <v>24</v>
      </c>
      <c r="L5" s="16">
        <v>0</v>
      </c>
      <c r="M5" s="208" t="e">
        <f>+L5/C6</f>
        <v>#DIV/0!</v>
      </c>
      <c r="N5" s="206" t="s">
        <v>23</v>
      </c>
      <c r="O5" s="14">
        <v>0</v>
      </c>
      <c r="P5" s="17">
        <f>+O5*C5</f>
        <v>0</v>
      </c>
      <c r="Q5" s="207" t="s">
        <v>24</v>
      </c>
      <c r="R5" s="16">
        <v>0</v>
      </c>
      <c r="S5" s="208" t="e">
        <f>+R5/C6</f>
        <v>#DIV/0!</v>
      </c>
      <c r="T5" s="207" t="s">
        <v>23</v>
      </c>
      <c r="U5" s="14">
        <v>0</v>
      </c>
      <c r="V5" s="17">
        <f>+U5*$C5</f>
        <v>0</v>
      </c>
      <c r="W5" s="207" t="s">
        <v>24</v>
      </c>
      <c r="X5" s="16">
        <v>0</v>
      </c>
      <c r="Y5" s="208" t="e">
        <f>+X5/C6</f>
        <v>#DIV/0!</v>
      </c>
      <c r="Z5" s="207" t="s">
        <v>23</v>
      </c>
      <c r="AA5" s="14">
        <v>0</v>
      </c>
      <c r="AB5" s="17">
        <f>+AA5*$C5</f>
        <v>0</v>
      </c>
      <c r="AC5" s="207" t="s">
        <v>24</v>
      </c>
      <c r="AD5" s="18"/>
      <c r="AE5" s="208" t="e">
        <f>+AD5/C6</f>
        <v>#DIV/0!</v>
      </c>
      <c r="AF5" s="206" t="s">
        <v>23</v>
      </c>
      <c r="AG5" s="14">
        <v>0</v>
      </c>
      <c r="AH5" s="17">
        <f>+AG5*C5</f>
        <v>0</v>
      </c>
      <c r="AI5" s="207" t="s">
        <v>24</v>
      </c>
      <c r="AJ5" s="18">
        <v>0</v>
      </c>
      <c r="AK5" s="208" t="e">
        <f>AJ5/C6</f>
        <v>#DIV/0!</v>
      </c>
      <c r="AL5" s="3"/>
      <c r="AM5" s="206" t="s">
        <v>23</v>
      </c>
      <c r="AN5" s="14"/>
      <c r="AO5" s="17">
        <f>+AN5*C5</f>
        <v>0</v>
      </c>
      <c r="AP5" s="207" t="s">
        <v>24</v>
      </c>
      <c r="AQ5" s="18"/>
      <c r="AR5" s="208" t="e">
        <f>+AQ5/C6</f>
        <v>#DIV/0!</v>
      </c>
      <c r="AS5" s="207" t="s">
        <v>23</v>
      </c>
      <c r="AT5" s="14">
        <v>0</v>
      </c>
      <c r="AU5" s="17">
        <f>+AT5*$C5</f>
        <v>0</v>
      </c>
      <c r="AV5" s="207" t="s">
        <v>24</v>
      </c>
      <c r="AW5" s="16">
        <v>0</v>
      </c>
      <c r="AX5" s="208" t="e">
        <f>+AW5/AB6</f>
        <v>#DIV/0!</v>
      </c>
      <c r="AY5" s="3"/>
      <c r="AZ5" s="206" t="s">
        <v>23</v>
      </c>
      <c r="BA5" s="14"/>
      <c r="BB5" s="17">
        <f>+BA5*P5</f>
        <v>0</v>
      </c>
      <c r="BC5" s="207" t="s">
        <v>24</v>
      </c>
      <c r="BD5" s="18"/>
      <c r="BE5" s="208" t="e">
        <f>+BD5/P6</f>
        <v>#DIV/0!</v>
      </c>
      <c r="BF5" s="206" t="s">
        <v>23</v>
      </c>
      <c r="BG5" s="14">
        <v>0</v>
      </c>
      <c r="BH5" s="15">
        <f>+BG5*P5</f>
        <v>0</v>
      </c>
      <c r="BI5" s="207" t="s">
        <v>24</v>
      </c>
      <c r="BJ5" s="16">
        <v>0</v>
      </c>
      <c r="BK5" s="208" t="e">
        <f>+BJ5/P6</f>
        <v>#DIV/0!</v>
      </c>
      <c r="BL5" s="206" t="s">
        <v>23</v>
      </c>
      <c r="BM5" s="14"/>
      <c r="BN5" s="15">
        <f>+BM5*P5</f>
        <v>0</v>
      </c>
      <c r="BO5" s="207" t="s">
        <v>24</v>
      </c>
      <c r="BP5" s="18">
        <v>0</v>
      </c>
      <c r="BQ5" s="208" t="e">
        <f>+BP5/P6</f>
        <v>#DIV/0!</v>
      </c>
      <c r="BR5" s="206" t="s">
        <v>23</v>
      </c>
      <c r="BS5" s="14"/>
      <c r="BT5" s="15">
        <f>+BS5*P5</f>
        <v>0</v>
      </c>
      <c r="BU5" s="207" t="s">
        <v>24</v>
      </c>
      <c r="BV5" s="18">
        <v>0</v>
      </c>
      <c r="BW5" s="208" t="e">
        <f>+BV5/P6</f>
        <v>#DIV/0!</v>
      </c>
      <c r="BX5" s="206" t="s">
        <v>23</v>
      </c>
      <c r="BY5" s="14">
        <v>0</v>
      </c>
      <c r="BZ5" s="15">
        <f>+BY5*P5</f>
        <v>0</v>
      </c>
      <c r="CA5" s="207" t="s">
        <v>24</v>
      </c>
      <c r="CB5" s="16">
        <v>0</v>
      </c>
      <c r="CC5" s="208" t="e">
        <f>+CB5/P6</f>
        <v>#DIV/0!</v>
      </c>
    </row>
    <row r="6" spans="1:81" ht="21" customHeight="1">
      <c r="A6" s="209" t="s">
        <v>25</v>
      </c>
      <c r="B6" s="210" t="s">
        <v>26</v>
      </c>
      <c r="C6" s="19"/>
      <c r="D6" s="210" t="s">
        <v>26</v>
      </c>
      <c r="E6" s="20"/>
      <c r="F6" s="210" t="s">
        <v>26</v>
      </c>
      <c r="G6" s="211">
        <f t="shared" si="0"/>
        <v>0</v>
      </c>
      <c r="H6" s="21" t="s">
        <v>27</v>
      </c>
      <c r="I6" s="212">
        <v>0</v>
      </c>
      <c r="J6" s="213">
        <f>+E5*I6</f>
        <v>0</v>
      </c>
      <c r="K6" s="22" t="s">
        <v>28</v>
      </c>
      <c r="L6" s="214">
        <v>0</v>
      </c>
      <c r="M6" s="215" t="e">
        <f>+L6/E6</f>
        <v>#DIV/0!</v>
      </c>
      <c r="N6" s="21" t="s">
        <v>27</v>
      </c>
      <c r="O6" s="216">
        <v>0</v>
      </c>
      <c r="P6" s="217">
        <f>+O6*E5</f>
        <v>0</v>
      </c>
      <c r="Q6" s="22" t="s">
        <v>28</v>
      </c>
      <c r="R6" s="214">
        <v>0</v>
      </c>
      <c r="S6" s="215" t="e">
        <f>+R6/E6</f>
        <v>#DIV/0!</v>
      </c>
      <c r="T6" s="22" t="s">
        <v>27</v>
      </c>
      <c r="U6" s="216">
        <v>0</v>
      </c>
      <c r="V6" s="217">
        <f>+U6*$E5</f>
        <v>0</v>
      </c>
      <c r="W6" s="22" t="s">
        <v>28</v>
      </c>
      <c r="X6" s="214">
        <v>0</v>
      </c>
      <c r="Y6" s="215" t="e">
        <f>+X6/E6</f>
        <v>#DIV/0!</v>
      </c>
      <c r="Z6" s="22" t="s">
        <v>27</v>
      </c>
      <c r="AA6" s="218"/>
      <c r="AB6" s="23">
        <f>+E5*AA6</f>
        <v>0</v>
      </c>
      <c r="AC6" s="219" t="s">
        <v>28</v>
      </c>
      <c r="AD6" s="220"/>
      <c r="AE6" s="24" t="e">
        <f>+AD6/E6</f>
        <v>#DIV/0!</v>
      </c>
      <c r="AF6" s="21" t="s">
        <v>27</v>
      </c>
      <c r="AG6" s="216">
        <v>0</v>
      </c>
      <c r="AH6" s="217">
        <f>+AG6*E5</f>
        <v>0</v>
      </c>
      <c r="AI6" s="22" t="s">
        <v>28</v>
      </c>
      <c r="AJ6" s="221">
        <v>0</v>
      </c>
      <c r="AK6" s="215" t="e">
        <f>+AJ6/E6</f>
        <v>#DIV/0!</v>
      </c>
      <c r="AL6" s="3"/>
      <c r="AM6" s="21" t="s">
        <v>27</v>
      </c>
      <c r="AN6" s="216"/>
      <c r="AO6" s="217">
        <f>+AN6*E5</f>
        <v>0</v>
      </c>
      <c r="AP6" s="22" t="s">
        <v>28</v>
      </c>
      <c r="AQ6" s="221"/>
      <c r="AR6" s="215" t="e">
        <f>+AQ6/E6</f>
        <v>#DIV/0!</v>
      </c>
      <c r="AS6" s="22" t="s">
        <v>27</v>
      </c>
      <c r="AT6" s="216">
        <v>0</v>
      </c>
      <c r="AU6" s="217">
        <f>+AT6*$E5</f>
        <v>0</v>
      </c>
      <c r="AV6" s="22" t="s">
        <v>28</v>
      </c>
      <c r="AW6" s="214">
        <v>0</v>
      </c>
      <c r="AX6" s="215" t="e">
        <f>+AW6/AD6</f>
        <v>#DIV/0!</v>
      </c>
      <c r="AY6" s="3"/>
      <c r="AZ6" s="21" t="s">
        <v>27</v>
      </c>
      <c r="BA6" s="216"/>
      <c r="BB6" s="217">
        <f>+BA6*R5</f>
        <v>0</v>
      </c>
      <c r="BC6" s="22" t="s">
        <v>28</v>
      </c>
      <c r="BD6" s="221"/>
      <c r="BE6" s="215" t="e">
        <f>+BD6/R6</f>
        <v>#DIV/0!</v>
      </c>
      <c r="BF6" s="21" t="s">
        <v>27</v>
      </c>
      <c r="BG6" s="212">
        <v>0</v>
      </c>
      <c r="BH6" s="213">
        <f>+BG6*R5</f>
        <v>0</v>
      </c>
      <c r="BI6" s="22" t="s">
        <v>28</v>
      </c>
      <c r="BJ6" s="214">
        <v>0</v>
      </c>
      <c r="BK6" s="215" t="e">
        <f>+BJ6/R6</f>
        <v>#DIV/0!</v>
      </c>
      <c r="BL6" s="21" t="s">
        <v>27</v>
      </c>
      <c r="BM6" s="212">
        <v>0</v>
      </c>
      <c r="BN6" s="213">
        <f>+BM6*R5</f>
        <v>0</v>
      </c>
      <c r="BO6" s="22" t="s">
        <v>28</v>
      </c>
      <c r="BP6" s="221">
        <v>0</v>
      </c>
      <c r="BQ6" s="215" t="e">
        <f>+BP6/R6</f>
        <v>#DIV/0!</v>
      </c>
      <c r="BR6" s="21" t="s">
        <v>27</v>
      </c>
      <c r="BS6" s="212"/>
      <c r="BT6" s="213">
        <f>+BS6*R5</f>
        <v>0</v>
      </c>
      <c r="BU6" s="22" t="s">
        <v>28</v>
      </c>
      <c r="BV6" s="221">
        <v>0</v>
      </c>
      <c r="BW6" s="215" t="e">
        <f>+BV6/R6</f>
        <v>#DIV/0!</v>
      </c>
      <c r="BX6" s="21" t="s">
        <v>27</v>
      </c>
      <c r="BY6" s="212">
        <v>0</v>
      </c>
      <c r="BZ6" s="213">
        <f>+BY6*R5</f>
        <v>0</v>
      </c>
      <c r="CA6" s="22" t="s">
        <v>28</v>
      </c>
      <c r="CB6" s="214">
        <v>0</v>
      </c>
      <c r="CC6" s="215" t="e">
        <f>+CB6/R6</f>
        <v>#DIV/0!</v>
      </c>
    </row>
    <row r="7" spans="1:81" ht="21" customHeight="1">
      <c r="A7" s="222" t="s">
        <v>29</v>
      </c>
      <c r="B7" s="453" t="s">
        <v>30</v>
      </c>
      <c r="C7" s="454"/>
      <c r="D7" s="455"/>
      <c r="E7" s="456">
        <f>+(J5+J10+P5+V5+AB5+AH5+AO5++AU5+AU10+BA5+BA10+BG5+BG10+BM5+BM10)/C5</f>
        <v>0</v>
      </c>
      <c r="F7" s="457"/>
      <c r="G7" s="458" t="e">
        <f>+(J7+J12+P7+V7+AB7+AH7+AO7+AU7+AU12+BA7+BA12+BG7+BG12+BM7+BM12)/(G5)</f>
        <v>#VALUE!</v>
      </c>
      <c r="H7" s="223" t="s">
        <v>31</v>
      </c>
      <c r="I7" s="224">
        <f>+J7/G5</f>
        <v>0</v>
      </c>
      <c r="J7" s="25">
        <f>SUM(J5:J6)</f>
        <v>0</v>
      </c>
      <c r="K7" s="225" t="s">
        <v>32</v>
      </c>
      <c r="L7" s="226">
        <f>SUM(L5:L6)</f>
        <v>0</v>
      </c>
      <c r="M7" s="227" t="e">
        <f>+L7/G6</f>
        <v>#DIV/0!</v>
      </c>
      <c r="N7" s="223" t="s">
        <v>31</v>
      </c>
      <c r="O7" s="224">
        <f>+P7/G5</f>
        <v>0</v>
      </c>
      <c r="P7" s="26">
        <f>+P5+P6</f>
        <v>0</v>
      </c>
      <c r="Q7" s="27" t="s">
        <v>31</v>
      </c>
      <c r="R7" s="226">
        <f>SUM(R5:R6)</f>
        <v>0</v>
      </c>
      <c r="S7" s="227" t="e">
        <f>+R7/G6</f>
        <v>#DIV/0!</v>
      </c>
      <c r="T7" s="225" t="s">
        <v>31</v>
      </c>
      <c r="U7" s="224">
        <f>+V7/$G5</f>
        <v>0</v>
      </c>
      <c r="V7" s="26">
        <f>SUM(V5:V6)</f>
        <v>0</v>
      </c>
      <c r="W7" s="27" t="s">
        <v>31</v>
      </c>
      <c r="X7" s="226">
        <f>SUM(X5:X6)</f>
        <v>0</v>
      </c>
      <c r="Y7" s="227" t="e">
        <f>+X7/G6</f>
        <v>#DIV/0!</v>
      </c>
      <c r="Z7" s="225" t="s">
        <v>31</v>
      </c>
      <c r="AA7" s="224">
        <f>+AB7/$G5</f>
        <v>0</v>
      </c>
      <c r="AB7" s="26">
        <f>+AB5+AB6</f>
        <v>0</v>
      </c>
      <c r="AC7" s="27" t="s">
        <v>31</v>
      </c>
      <c r="AD7" s="225">
        <f>SUM(AD5:AD6)</f>
        <v>0</v>
      </c>
      <c r="AE7" s="227" t="e">
        <f>+AD7/G6</f>
        <v>#DIV/0!</v>
      </c>
      <c r="AF7" s="223" t="s">
        <v>31</v>
      </c>
      <c r="AG7" s="224">
        <f>+AH7/G5</f>
        <v>0</v>
      </c>
      <c r="AH7" s="26">
        <f>+AH5+AH6</f>
        <v>0</v>
      </c>
      <c r="AI7" s="27" t="s">
        <v>31</v>
      </c>
      <c r="AJ7" s="225">
        <f>SUM(AJ5:AJ6)</f>
        <v>0</v>
      </c>
      <c r="AK7" s="227" t="e">
        <f>+AJ7/G6</f>
        <v>#DIV/0!</v>
      </c>
      <c r="AL7" s="28"/>
      <c r="AM7" s="223" t="s">
        <v>31</v>
      </c>
      <c r="AN7" s="224">
        <f>+AO7/G5</f>
        <v>0</v>
      </c>
      <c r="AO7" s="26">
        <f>+AO5+AO6</f>
        <v>0</v>
      </c>
      <c r="AP7" s="27" t="s">
        <v>31</v>
      </c>
      <c r="AQ7" s="225">
        <f>SUM(AQ5:AQ6)</f>
        <v>0</v>
      </c>
      <c r="AR7" s="227" t="e">
        <f>+AQ7/G6</f>
        <v>#DIV/0!</v>
      </c>
      <c r="AS7" s="223" t="s">
        <v>31</v>
      </c>
      <c r="AT7" s="224" t="e">
        <f>+AU7/T5</f>
        <v>#VALUE!</v>
      </c>
      <c r="AU7" s="26">
        <f>+AU5+AU6</f>
        <v>0</v>
      </c>
      <c r="AV7" s="27" t="s">
        <v>31</v>
      </c>
      <c r="AW7" s="226">
        <f>SUM(AW5:AW6)</f>
        <v>0</v>
      </c>
      <c r="AX7" s="227" t="e">
        <f>+AW7/T6</f>
        <v>#VALUE!</v>
      </c>
      <c r="AY7" s="28"/>
      <c r="AZ7" s="223" t="s">
        <v>31</v>
      </c>
      <c r="BA7" s="224" t="e">
        <f>+BB7/T5</f>
        <v>#VALUE!</v>
      </c>
      <c r="BB7" s="26">
        <f>+BB5+BB6</f>
        <v>0</v>
      </c>
      <c r="BC7" s="27" t="s">
        <v>31</v>
      </c>
      <c r="BD7" s="225">
        <f>SUM(BD5:BD6)</f>
        <v>0</v>
      </c>
      <c r="BE7" s="227" t="e">
        <f>+BD7/T6</f>
        <v>#VALUE!</v>
      </c>
      <c r="BF7" s="223" t="s">
        <v>31</v>
      </c>
      <c r="BG7" s="224" t="e">
        <f>+BH7/T5</f>
        <v>#VALUE!</v>
      </c>
      <c r="BH7" s="25">
        <f>SUM(BH5:BH6)</f>
        <v>0</v>
      </c>
      <c r="BI7" s="27" t="s">
        <v>31</v>
      </c>
      <c r="BJ7" s="226">
        <f>SUM(BJ5:BJ6)</f>
        <v>0</v>
      </c>
      <c r="BK7" s="227" t="e">
        <f>+BJ7/T6</f>
        <v>#VALUE!</v>
      </c>
      <c r="BL7" s="223" t="s">
        <v>31</v>
      </c>
      <c r="BM7" s="224" t="e">
        <f>+BN7/T5</f>
        <v>#VALUE!</v>
      </c>
      <c r="BN7" s="25">
        <f>SUM(BN5:BN6)</f>
        <v>0</v>
      </c>
      <c r="BO7" s="27" t="s">
        <v>31</v>
      </c>
      <c r="BP7" s="225">
        <f>SUM(BP5:BP6)</f>
        <v>0</v>
      </c>
      <c r="BQ7" s="227" t="e">
        <f>+BP7/T6</f>
        <v>#VALUE!</v>
      </c>
      <c r="BR7" s="223" t="s">
        <v>31</v>
      </c>
      <c r="BS7" s="224" t="e">
        <f>+BT7/T5</f>
        <v>#VALUE!</v>
      </c>
      <c r="BT7" s="25">
        <f>SUM(BT5:BT6)</f>
        <v>0</v>
      </c>
      <c r="BU7" s="27" t="s">
        <v>31</v>
      </c>
      <c r="BV7" s="225">
        <f>SUM(BV5:BV6)</f>
        <v>0</v>
      </c>
      <c r="BW7" s="227" t="e">
        <f>+BV7/T6</f>
        <v>#VALUE!</v>
      </c>
      <c r="BX7" s="223" t="s">
        <v>31</v>
      </c>
      <c r="BY7" s="224" t="e">
        <f>+BZ7/T5</f>
        <v>#VALUE!</v>
      </c>
      <c r="BZ7" s="25">
        <f>SUM(BZ5:BZ6)</f>
        <v>0</v>
      </c>
      <c r="CA7" s="27" t="s">
        <v>31</v>
      </c>
      <c r="CB7" s="226">
        <f>SUM(CB5:CB6)</f>
        <v>0</v>
      </c>
      <c r="CC7" s="227" t="e">
        <f>+CB7/T6</f>
        <v>#VALUE!</v>
      </c>
    </row>
    <row r="8" spans="1:81" ht="21" customHeight="1">
      <c r="A8" s="222" t="s">
        <v>33</v>
      </c>
      <c r="B8" s="460" t="s">
        <v>34</v>
      </c>
      <c r="C8" s="461"/>
      <c r="D8" s="462"/>
      <c r="E8" s="463" t="e">
        <f>+(J6+J11+P6+V6+AB6+AH6+AO6+AU6+AU11+BA6+BA11+BG6+BG11+BM6+BM11)/E5</f>
        <v>#DIV/0!</v>
      </c>
      <c r="F8" s="464"/>
      <c r="G8" s="459"/>
      <c r="H8" s="228" t="s">
        <v>35</v>
      </c>
      <c r="I8" s="29"/>
      <c r="J8" s="29"/>
      <c r="K8" s="3"/>
      <c r="L8" s="229">
        <v>0.18</v>
      </c>
      <c r="M8" s="230">
        <f>+L8*J7</f>
        <v>0</v>
      </c>
      <c r="N8" s="231" t="s">
        <v>36</v>
      </c>
      <c r="O8" s="232"/>
      <c r="P8" s="232"/>
      <c r="Q8" s="30"/>
      <c r="R8" s="30">
        <v>0.1</v>
      </c>
      <c r="S8" s="233">
        <f>R8*P7</f>
        <v>0</v>
      </c>
      <c r="T8" s="231" t="s">
        <v>37</v>
      </c>
      <c r="U8" s="232"/>
      <c r="V8" s="232"/>
      <c r="W8" s="31"/>
      <c r="X8" s="31">
        <v>0.15</v>
      </c>
      <c r="Y8" s="234">
        <f>X8*V7</f>
        <v>0</v>
      </c>
      <c r="Z8" s="235" t="s">
        <v>38</v>
      </c>
      <c r="AA8" s="32"/>
      <c r="AB8" s="33"/>
      <c r="AC8" s="33"/>
      <c r="AD8" s="34"/>
      <c r="AE8" s="234">
        <f>AD8*AB7</f>
        <v>0</v>
      </c>
      <c r="AF8" s="231" t="s">
        <v>39</v>
      </c>
      <c r="AG8" s="35"/>
      <c r="AH8" s="36"/>
      <c r="AI8" s="36"/>
      <c r="AJ8" s="37">
        <v>7.4999999999999997E-2</v>
      </c>
      <c r="AK8" s="234">
        <f>AJ8*AH7</f>
        <v>0</v>
      </c>
      <c r="AL8" s="38"/>
      <c r="AM8" s="235" t="s">
        <v>40</v>
      </c>
      <c r="AN8" s="32"/>
      <c r="AO8" s="33"/>
      <c r="AP8" s="33"/>
      <c r="AQ8" s="39">
        <v>1</v>
      </c>
      <c r="AR8" s="234">
        <f>AQ8*AO7</f>
        <v>0</v>
      </c>
      <c r="AS8" s="231" t="s">
        <v>41</v>
      </c>
      <c r="AT8" s="35"/>
      <c r="AU8" s="36"/>
      <c r="AV8" s="36"/>
      <c r="AW8" s="37">
        <v>0.83</v>
      </c>
      <c r="AX8" s="234">
        <f>AW8*AU7</f>
        <v>0</v>
      </c>
      <c r="AY8" s="38"/>
      <c r="AZ8" s="235" t="s">
        <v>40</v>
      </c>
      <c r="BA8" s="32"/>
      <c r="BB8" s="33"/>
      <c r="BC8" s="33"/>
      <c r="BD8" s="39">
        <v>1</v>
      </c>
      <c r="BE8" s="234">
        <f>BD8*BB7</f>
        <v>0</v>
      </c>
      <c r="BF8" s="465" t="s">
        <v>42</v>
      </c>
      <c r="BG8" s="461"/>
      <c r="BH8" s="461"/>
      <c r="BI8" s="3"/>
      <c r="BJ8" s="52">
        <v>0.1</v>
      </c>
      <c r="BK8" s="255">
        <f>+BJ8*BH7</f>
        <v>0</v>
      </c>
      <c r="BL8" s="465"/>
      <c r="BM8" s="461"/>
      <c r="BN8" s="461"/>
      <c r="BO8" s="40"/>
      <c r="BP8" s="41">
        <f>+BN7*BO8</f>
        <v>0</v>
      </c>
      <c r="BQ8" s="238"/>
      <c r="BR8" s="465" t="s">
        <v>43</v>
      </c>
      <c r="BS8" s="461"/>
      <c r="BT8" s="461"/>
      <c r="BU8" s="239">
        <v>0.1</v>
      </c>
      <c r="BV8" s="240">
        <f>+BT7*BU8</f>
        <v>0</v>
      </c>
      <c r="BW8" s="211"/>
      <c r="BX8" s="465" t="s">
        <v>44</v>
      </c>
      <c r="BY8" s="461"/>
      <c r="BZ8" s="461"/>
      <c r="CA8" s="3"/>
      <c r="CB8" s="40">
        <v>0.09</v>
      </c>
      <c r="CC8" s="241">
        <f>+BZ7*CB8</f>
        <v>0</v>
      </c>
    </row>
    <row r="9" spans="1:81" ht="21" customHeight="1">
      <c r="A9" s="222" t="s">
        <v>45</v>
      </c>
      <c r="B9" s="453" t="s">
        <v>46</v>
      </c>
      <c r="C9" s="454"/>
      <c r="D9" s="455"/>
      <c r="E9" s="466" t="e">
        <f>+(L7+L12+R7+X7+AD7+AJ7+AQ7+AW7+AW12+BC7+BC12+BI7+BI12+BO7+BO12)/G6</f>
        <v>#VALUE!</v>
      </c>
      <c r="F9" s="467"/>
      <c r="G9" s="468"/>
      <c r="H9" s="441" t="s">
        <v>47</v>
      </c>
      <c r="I9" s="431"/>
      <c r="J9" s="431"/>
      <c r="K9" s="431"/>
      <c r="L9" s="431"/>
      <c r="M9" s="432"/>
      <c r="N9" s="231" t="s">
        <v>48</v>
      </c>
      <c r="O9" s="36"/>
      <c r="P9" s="36"/>
      <c r="Q9" s="36"/>
      <c r="R9" s="30">
        <v>7.0000000000000007E-2</v>
      </c>
      <c r="S9" s="233">
        <f>R9*P7</f>
        <v>0</v>
      </c>
      <c r="T9" s="231" t="s">
        <v>49</v>
      </c>
      <c r="U9" s="35"/>
      <c r="V9" s="36"/>
      <c r="W9" s="36"/>
      <c r="X9" s="37">
        <v>4.0000000000000001E-3</v>
      </c>
      <c r="Y9" s="234">
        <f>X9*V7</f>
        <v>0</v>
      </c>
      <c r="Z9" s="243" t="s">
        <v>50</v>
      </c>
      <c r="AA9" s="33"/>
      <c r="AB9" s="33"/>
      <c r="AC9" s="33"/>
      <c r="AD9" s="39"/>
      <c r="AE9" s="234">
        <f>AD9*AB7</f>
        <v>0</v>
      </c>
      <c r="AF9" s="231" t="s">
        <v>51</v>
      </c>
      <c r="AG9" s="35"/>
      <c r="AH9" s="36"/>
      <c r="AI9" s="36"/>
      <c r="AJ9" s="37">
        <v>5.0000000000000001E-3</v>
      </c>
      <c r="AK9" s="234">
        <f>AJ9*AH7</f>
        <v>0</v>
      </c>
      <c r="AL9" s="28"/>
      <c r="AM9" s="235" t="s">
        <v>52</v>
      </c>
      <c r="AN9" s="32"/>
      <c r="AO9" s="33"/>
      <c r="AP9" s="33"/>
      <c r="AQ9" s="39">
        <v>0.125</v>
      </c>
      <c r="AR9" s="234">
        <f>AQ9*AO7</f>
        <v>0</v>
      </c>
      <c r="AS9" s="231" t="s">
        <v>53</v>
      </c>
      <c r="AT9" s="35"/>
      <c r="AU9" s="36"/>
      <c r="AV9" s="36"/>
      <c r="AW9" s="37">
        <v>0.13</v>
      </c>
      <c r="AX9" s="234">
        <f>AW9*AU7</f>
        <v>0</v>
      </c>
      <c r="AY9" s="28"/>
      <c r="AZ9" s="235" t="s">
        <v>52</v>
      </c>
      <c r="BA9" s="32"/>
      <c r="BB9" s="33"/>
      <c r="BC9" s="33"/>
      <c r="BD9" s="39">
        <v>0.125</v>
      </c>
      <c r="BE9" s="234">
        <f>BD9*BB7</f>
        <v>0</v>
      </c>
      <c r="BF9" s="437" t="s">
        <v>54</v>
      </c>
      <c r="BG9" s="431"/>
      <c r="BH9" s="431"/>
      <c r="BI9" s="431"/>
      <c r="BJ9" s="431"/>
      <c r="BK9" s="432"/>
      <c r="BL9" s="438"/>
      <c r="BM9" s="431"/>
      <c r="BN9" s="431"/>
      <c r="BO9" s="431"/>
      <c r="BP9" s="431"/>
      <c r="BQ9" s="432"/>
      <c r="BR9" s="438"/>
      <c r="BS9" s="431"/>
      <c r="BT9" s="431"/>
      <c r="BU9" s="431"/>
      <c r="BV9" s="431"/>
      <c r="BW9" s="432"/>
      <c r="BX9" s="437" t="s">
        <v>55</v>
      </c>
      <c r="BY9" s="431"/>
      <c r="BZ9" s="431"/>
      <c r="CA9" s="431"/>
      <c r="CB9" s="431"/>
      <c r="CC9" s="432"/>
    </row>
    <row r="10" spans="1:81" ht="21" customHeight="1">
      <c r="A10" s="222" t="s">
        <v>56</v>
      </c>
      <c r="B10" s="469"/>
      <c r="C10" s="454"/>
      <c r="D10" s="454"/>
      <c r="E10" s="454"/>
      <c r="F10" s="454"/>
      <c r="G10" s="457"/>
      <c r="H10" s="206" t="s">
        <v>23</v>
      </c>
      <c r="I10" s="14">
        <v>0</v>
      </c>
      <c r="J10" s="15">
        <f>+I10*C5</f>
        <v>0</v>
      </c>
      <c r="K10" s="207" t="s">
        <v>24</v>
      </c>
      <c r="L10" s="16">
        <v>0</v>
      </c>
      <c r="M10" s="208" t="e">
        <f>+L10/C6</f>
        <v>#DIV/0!</v>
      </c>
      <c r="N10" s="231" t="s">
        <v>57</v>
      </c>
      <c r="O10" s="36"/>
      <c r="P10" s="36"/>
      <c r="Q10" s="36"/>
      <c r="R10" s="30">
        <v>0.03</v>
      </c>
      <c r="S10" s="233">
        <f>R10*P7</f>
        <v>0</v>
      </c>
      <c r="T10" s="244" t="s">
        <v>58</v>
      </c>
      <c r="U10" s="42"/>
      <c r="V10" s="43"/>
      <c r="W10" s="43"/>
      <c r="X10" s="37">
        <v>7.0000000000000001E-3</v>
      </c>
      <c r="Y10" s="234">
        <f>X10*V7</f>
        <v>0</v>
      </c>
      <c r="Z10" s="243" t="s">
        <v>59</v>
      </c>
      <c r="AA10" s="44"/>
      <c r="AB10" s="44"/>
      <c r="AC10" s="44"/>
      <c r="AD10" s="39"/>
      <c r="AE10" s="234">
        <f>AD10*AB7</f>
        <v>0</v>
      </c>
      <c r="AF10" s="245"/>
      <c r="AG10" s="42"/>
      <c r="AH10" s="43"/>
      <c r="AI10" s="43"/>
      <c r="AJ10" s="39"/>
      <c r="AK10" s="234">
        <f>AJ10*AH7</f>
        <v>0</v>
      </c>
      <c r="AL10" s="28"/>
      <c r="AM10" s="246" t="s">
        <v>60</v>
      </c>
      <c r="AN10" s="45"/>
      <c r="AO10" s="44"/>
      <c r="AP10" s="44"/>
      <c r="AQ10" s="39">
        <v>0.03</v>
      </c>
      <c r="AR10" s="234">
        <f>AQ10*AO7</f>
        <v>0</v>
      </c>
      <c r="AS10" s="245" t="s">
        <v>61</v>
      </c>
      <c r="AT10" s="42"/>
      <c r="AU10" s="43"/>
      <c r="AV10" s="43"/>
      <c r="AW10" s="39">
        <v>0.7</v>
      </c>
      <c r="AX10" s="234">
        <f>AW10*AU7</f>
        <v>0</v>
      </c>
      <c r="AY10" s="28"/>
      <c r="AZ10" s="246" t="s">
        <v>60</v>
      </c>
      <c r="BA10" s="45"/>
      <c r="BB10" s="44"/>
      <c r="BC10" s="44"/>
      <c r="BD10" s="39">
        <v>0.03</v>
      </c>
      <c r="BE10" s="234">
        <f>BD10*BB7</f>
        <v>0</v>
      </c>
      <c r="BF10" s="206" t="s">
        <v>62</v>
      </c>
      <c r="BG10" s="14">
        <v>0</v>
      </c>
      <c r="BH10" s="15">
        <f>+BG10*P5</f>
        <v>0</v>
      </c>
      <c r="BI10" s="207" t="s">
        <v>24</v>
      </c>
      <c r="BJ10" s="16">
        <v>0</v>
      </c>
      <c r="BK10" s="208" t="e">
        <f>+BJ10/P6</f>
        <v>#DIV/0!</v>
      </c>
      <c r="BL10" s="206"/>
      <c r="BM10" s="14"/>
      <c r="BN10" s="15"/>
      <c r="BO10" s="207"/>
      <c r="BP10" s="18"/>
      <c r="BQ10" s="208"/>
      <c r="BR10" s="206" t="s">
        <v>62</v>
      </c>
      <c r="BS10" s="14"/>
      <c r="BT10" s="15">
        <f>+BS10*P5</f>
        <v>0</v>
      </c>
      <c r="BU10" s="207" t="s">
        <v>24</v>
      </c>
      <c r="BV10" s="18">
        <v>0</v>
      </c>
      <c r="BW10" s="208" t="e">
        <f>+BV10/P6</f>
        <v>#DIV/0!</v>
      </c>
      <c r="BX10" s="206" t="s">
        <v>62</v>
      </c>
      <c r="BY10" s="14">
        <v>0</v>
      </c>
      <c r="BZ10" s="15">
        <f>+BY10*P5</f>
        <v>0</v>
      </c>
      <c r="CA10" s="207" t="s">
        <v>24</v>
      </c>
      <c r="CB10" s="16">
        <v>0</v>
      </c>
      <c r="CC10" s="208" t="e">
        <f>+CB10/P6</f>
        <v>#DIV/0!</v>
      </c>
    </row>
    <row r="11" spans="1:81" ht="21" customHeight="1">
      <c r="A11" s="222"/>
      <c r="B11" s="470"/>
      <c r="C11" s="471"/>
      <c r="D11" s="471"/>
      <c r="E11" s="471"/>
      <c r="F11" s="471"/>
      <c r="G11" s="472"/>
      <c r="H11" s="21" t="s">
        <v>27</v>
      </c>
      <c r="I11" s="212">
        <v>0</v>
      </c>
      <c r="J11" s="213">
        <f>+I11*E5</f>
        <v>0</v>
      </c>
      <c r="K11" s="22" t="s">
        <v>28</v>
      </c>
      <c r="L11" s="214">
        <v>0</v>
      </c>
      <c r="M11" s="215" t="e">
        <f>+L11/E6</f>
        <v>#DIV/0!</v>
      </c>
      <c r="N11" s="231" t="s">
        <v>63</v>
      </c>
      <c r="O11" s="36"/>
      <c r="P11" s="36"/>
      <c r="Q11" s="36"/>
      <c r="R11" s="30">
        <v>0.03</v>
      </c>
      <c r="S11" s="233">
        <f>R11*P7</f>
        <v>0</v>
      </c>
      <c r="T11" s="244" t="s">
        <v>53</v>
      </c>
      <c r="U11" s="42"/>
      <c r="V11" s="43"/>
      <c r="W11" s="43"/>
      <c r="X11" s="37">
        <v>1E-3</v>
      </c>
      <c r="Y11" s="234">
        <f>X11*V7</f>
        <v>0</v>
      </c>
      <c r="Z11" s="243"/>
      <c r="AA11" s="44"/>
      <c r="AB11" s="44"/>
      <c r="AC11" s="44"/>
      <c r="AD11" s="39"/>
      <c r="AE11" s="234">
        <f>AD11*AB7</f>
        <v>0</v>
      </c>
      <c r="AF11" s="245"/>
      <c r="AG11" s="42"/>
      <c r="AH11" s="43"/>
      <c r="AI11" s="43"/>
      <c r="AJ11" s="37"/>
      <c r="AK11" s="234">
        <f>AJ11*AH7</f>
        <v>0</v>
      </c>
      <c r="AL11" s="28"/>
      <c r="AM11" s="246" t="s">
        <v>64</v>
      </c>
      <c r="AN11" s="45"/>
      <c r="AO11" s="44"/>
      <c r="AP11" s="44"/>
      <c r="AQ11" s="39">
        <v>3.0000000000000001E-3</v>
      </c>
      <c r="AR11" s="234">
        <f>AQ11*AO7</f>
        <v>0</v>
      </c>
      <c r="AS11" s="245" t="s">
        <v>65</v>
      </c>
      <c r="AT11" s="42"/>
      <c r="AU11" s="43"/>
      <c r="AV11" s="43"/>
      <c r="AW11" s="37">
        <v>0.05</v>
      </c>
      <c r="AX11" s="234">
        <f>AW11*AU7</f>
        <v>0</v>
      </c>
      <c r="AY11" s="28"/>
      <c r="AZ11" s="246" t="s">
        <v>64</v>
      </c>
      <c r="BA11" s="45"/>
      <c r="BB11" s="44"/>
      <c r="BC11" s="44"/>
      <c r="BD11" s="39">
        <v>3.0000000000000001E-3</v>
      </c>
      <c r="BE11" s="234">
        <f>BD11*BB7</f>
        <v>0</v>
      </c>
      <c r="BF11" s="21" t="s">
        <v>66</v>
      </c>
      <c r="BG11" s="212">
        <v>0</v>
      </c>
      <c r="BH11" s="213">
        <f>+BG11*R5</f>
        <v>0</v>
      </c>
      <c r="BI11" s="22" t="s">
        <v>28</v>
      </c>
      <c r="BJ11" s="214">
        <v>0</v>
      </c>
      <c r="BK11" s="215" t="e">
        <f>+BJ11/R6</f>
        <v>#DIV/0!</v>
      </c>
      <c r="BL11" s="21"/>
      <c r="BM11" s="212"/>
      <c r="BN11" s="213"/>
      <c r="BO11" s="22"/>
      <c r="BP11" s="221"/>
      <c r="BQ11" s="215"/>
      <c r="BR11" s="21" t="s">
        <v>66</v>
      </c>
      <c r="BS11" s="212">
        <v>0</v>
      </c>
      <c r="BT11" s="213">
        <f>+BS11*R5</f>
        <v>0</v>
      </c>
      <c r="BU11" s="22" t="s">
        <v>28</v>
      </c>
      <c r="BV11" s="221">
        <v>0</v>
      </c>
      <c r="BW11" s="215" t="e">
        <f>+BV11/R6</f>
        <v>#DIV/0!</v>
      </c>
      <c r="BX11" s="21" t="s">
        <v>66</v>
      </c>
      <c r="BY11" s="212">
        <v>0</v>
      </c>
      <c r="BZ11" s="213">
        <f>+BY11*R5</f>
        <v>0</v>
      </c>
      <c r="CA11" s="22" t="s">
        <v>28</v>
      </c>
      <c r="CB11" s="214">
        <v>0</v>
      </c>
      <c r="CC11" s="215" t="e">
        <f>+CB11/R6</f>
        <v>#DIV/0!</v>
      </c>
    </row>
    <row r="12" spans="1:81" ht="21" customHeight="1">
      <c r="A12" s="222"/>
      <c r="B12" s="473"/>
      <c r="C12" s="474"/>
      <c r="D12" s="474"/>
      <c r="E12" s="474"/>
      <c r="F12" s="474"/>
      <c r="G12" s="475"/>
      <c r="H12" s="223" t="s">
        <v>31</v>
      </c>
      <c r="I12" s="224">
        <f>+J12/G5</f>
        <v>0</v>
      </c>
      <c r="J12" s="25">
        <f>SUM(J10:J11)</f>
        <v>0</v>
      </c>
      <c r="K12" s="225" t="s">
        <v>32</v>
      </c>
      <c r="L12" s="226">
        <f>SUM(L10:L11)</f>
        <v>0</v>
      </c>
      <c r="M12" s="227" t="e">
        <f>+L12/G6</f>
        <v>#DIV/0!</v>
      </c>
      <c r="N12" s="243"/>
      <c r="O12" s="44"/>
      <c r="P12" s="44"/>
      <c r="Q12" s="44"/>
      <c r="R12" s="39"/>
      <c r="S12" s="233">
        <f>R12*P7</f>
        <v>0</v>
      </c>
      <c r="T12" s="231" t="s">
        <v>67</v>
      </c>
      <c r="U12" s="42"/>
      <c r="V12" s="43"/>
      <c r="W12" s="43"/>
      <c r="X12" s="37">
        <v>1E-3</v>
      </c>
      <c r="Y12" s="234">
        <f>X12*V7</f>
        <v>0</v>
      </c>
      <c r="Z12" s="243"/>
      <c r="AA12" s="44"/>
      <c r="AB12" s="44"/>
      <c r="AC12" s="44"/>
      <c r="AD12" s="46"/>
      <c r="AE12" s="234">
        <f>AD12*AB7</f>
        <v>0</v>
      </c>
      <c r="AF12" s="244"/>
      <c r="AG12" s="42"/>
      <c r="AH12" s="43"/>
      <c r="AI12" s="43"/>
      <c r="AJ12" s="46"/>
      <c r="AK12" s="234">
        <f>AJ12*AH7</f>
        <v>0</v>
      </c>
      <c r="AL12" s="28"/>
      <c r="AM12" s="246" t="s">
        <v>68</v>
      </c>
      <c r="AN12" s="45"/>
      <c r="AO12" s="44"/>
      <c r="AP12" s="44"/>
      <c r="AQ12" s="39">
        <v>0.03</v>
      </c>
      <c r="AR12" s="234">
        <f>AQ12*AO7</f>
        <v>0</v>
      </c>
      <c r="AS12" s="244" t="s">
        <v>69</v>
      </c>
      <c r="AT12" s="42"/>
      <c r="AU12" s="43"/>
      <c r="AV12" s="43"/>
      <c r="AW12" s="46">
        <v>2E-3</v>
      </c>
      <c r="AX12" s="234">
        <f>AW12*AU7</f>
        <v>0</v>
      </c>
      <c r="AY12" s="28"/>
      <c r="AZ12" s="246" t="s">
        <v>68</v>
      </c>
      <c r="BA12" s="45"/>
      <c r="BB12" s="44"/>
      <c r="BC12" s="44"/>
      <c r="BD12" s="39">
        <v>0.03</v>
      </c>
      <c r="BE12" s="234">
        <f>BD12*BB7</f>
        <v>0</v>
      </c>
      <c r="BF12" s="223" t="s">
        <v>31</v>
      </c>
      <c r="BG12" s="224" t="e">
        <f>+BH12/T5</f>
        <v>#VALUE!</v>
      </c>
      <c r="BH12" s="25">
        <f>SUM(BH10:BH11)</f>
        <v>0</v>
      </c>
      <c r="BI12" s="27" t="s">
        <v>31</v>
      </c>
      <c r="BJ12" s="226">
        <f>SUM(BJ10:BJ11)</f>
        <v>0</v>
      </c>
      <c r="BK12" s="227" t="e">
        <f>+BJ12/T6</f>
        <v>#VALUE!</v>
      </c>
      <c r="BL12" s="223"/>
      <c r="BM12" s="224"/>
      <c r="BN12" s="25"/>
      <c r="BO12" s="27"/>
      <c r="BP12" s="225"/>
      <c r="BQ12" s="227"/>
      <c r="BR12" s="223" t="s">
        <v>31</v>
      </c>
      <c r="BS12" s="224" t="e">
        <f>+BT12/T5</f>
        <v>#VALUE!</v>
      </c>
      <c r="BT12" s="25">
        <f>SUM(BT10:BT11)</f>
        <v>0</v>
      </c>
      <c r="BU12" s="27" t="s">
        <v>31</v>
      </c>
      <c r="BV12" s="225">
        <f>SUM(BV10:BV11)</f>
        <v>0</v>
      </c>
      <c r="BW12" s="227" t="e">
        <f>+BV12/T6</f>
        <v>#VALUE!</v>
      </c>
      <c r="BX12" s="223" t="s">
        <v>31</v>
      </c>
      <c r="BY12" s="224" t="e">
        <f>+BZ12/T5</f>
        <v>#VALUE!</v>
      </c>
      <c r="BZ12" s="25">
        <f>SUM(BZ10:BZ11)</f>
        <v>0</v>
      </c>
      <c r="CA12" s="27" t="s">
        <v>31</v>
      </c>
      <c r="CB12" s="226">
        <f>SUM(CB10:CB11)</f>
        <v>0</v>
      </c>
      <c r="CC12" s="227" t="e">
        <f>+CB12/T6</f>
        <v>#VALUE!</v>
      </c>
    </row>
    <row r="13" spans="1:81" ht="21" customHeight="1">
      <c r="A13" s="222"/>
      <c r="B13" s="447"/>
      <c r="C13" s="434"/>
      <c r="D13" s="434"/>
      <c r="E13" s="434"/>
      <c r="F13" s="434"/>
      <c r="G13" s="435"/>
      <c r="H13" s="228"/>
      <c r="I13" s="29"/>
      <c r="J13" s="29"/>
      <c r="K13" s="236"/>
      <c r="L13" s="229">
        <v>0.16</v>
      </c>
      <c r="M13" s="230">
        <f>+J12*L13</f>
        <v>0</v>
      </c>
      <c r="N13" s="247"/>
      <c r="O13" s="248"/>
      <c r="P13" s="248"/>
      <c r="Q13" s="248"/>
      <c r="R13" s="39"/>
      <c r="S13" s="233">
        <f>R13*P7</f>
        <v>0</v>
      </c>
      <c r="T13" s="244" t="s">
        <v>70</v>
      </c>
      <c r="U13" s="42"/>
      <c r="V13" s="43"/>
      <c r="W13" s="43"/>
      <c r="X13" s="37">
        <v>1E-3</v>
      </c>
      <c r="Y13" s="234">
        <f>X13*V7</f>
        <v>0</v>
      </c>
      <c r="Z13" s="247" t="s">
        <v>71</v>
      </c>
      <c r="AA13" s="248"/>
      <c r="AB13" s="248"/>
      <c r="AC13" s="248"/>
      <c r="AD13" s="249"/>
      <c r="AE13" s="250">
        <f>AD13*AB7</f>
        <v>0</v>
      </c>
      <c r="AF13" s="251"/>
      <c r="AG13" s="47"/>
      <c r="AH13" s="48"/>
      <c r="AI13" s="48"/>
      <c r="AJ13" s="49"/>
      <c r="AK13" s="250">
        <f>AJ13*AH7</f>
        <v>0</v>
      </c>
      <c r="AL13" s="28"/>
      <c r="AM13" s="247" t="s">
        <v>72</v>
      </c>
      <c r="AN13" s="252"/>
      <c r="AO13" s="248"/>
      <c r="AP13" s="248"/>
      <c r="AQ13" s="249">
        <v>0.02</v>
      </c>
      <c r="AR13" s="250">
        <f>AQ13*AO7</f>
        <v>0</v>
      </c>
      <c r="AS13" s="251" t="s">
        <v>73</v>
      </c>
      <c r="AT13" s="47"/>
      <c r="AU13" s="48"/>
      <c r="AV13" s="48"/>
      <c r="AW13" s="49">
        <v>3.0000000000000001E-3</v>
      </c>
      <c r="AX13" s="250">
        <f>AW13*AU7</f>
        <v>0</v>
      </c>
      <c r="AY13" s="28"/>
      <c r="AZ13" s="247" t="s">
        <v>72</v>
      </c>
      <c r="BA13" s="252"/>
      <c r="BB13" s="248"/>
      <c r="BC13" s="248"/>
      <c r="BD13" s="249">
        <v>0.02</v>
      </c>
      <c r="BE13" s="250">
        <f>BD13*BB7</f>
        <v>0</v>
      </c>
      <c r="BF13" s="235" t="s">
        <v>74</v>
      </c>
      <c r="BG13" s="32"/>
      <c r="BH13" s="33"/>
      <c r="BI13" s="33"/>
      <c r="BJ13" s="39">
        <v>0.08</v>
      </c>
      <c r="BK13" s="253">
        <f>+BH12*BJ13</f>
        <v>0</v>
      </c>
      <c r="BL13" s="465"/>
      <c r="BM13" s="461"/>
      <c r="BN13" s="461"/>
      <c r="BO13" s="239"/>
      <c r="BP13" s="240"/>
      <c r="BQ13" s="211"/>
      <c r="BR13" s="465"/>
      <c r="BS13" s="461"/>
      <c r="BT13" s="461"/>
      <c r="BU13" s="239">
        <v>7.4999999999999997E-2</v>
      </c>
      <c r="BV13" s="240">
        <f>+BT12*BU13</f>
        <v>0</v>
      </c>
      <c r="BW13" s="211"/>
      <c r="BX13" s="465" t="s">
        <v>75</v>
      </c>
      <c r="BY13" s="461"/>
      <c r="BZ13" s="461"/>
      <c r="CA13" s="239"/>
      <c r="CB13" s="239">
        <v>1</v>
      </c>
      <c r="CC13" s="253">
        <f>+BZ12*CB13</f>
        <v>0</v>
      </c>
    </row>
    <row r="14" spans="1:81" ht="21" customHeight="1">
      <c r="A14" s="11">
        <f>A4+1</f>
        <v>28</v>
      </c>
      <c r="B14" s="440" t="s">
        <v>8</v>
      </c>
      <c r="C14" s="432"/>
      <c r="D14" s="440" t="s">
        <v>9</v>
      </c>
      <c r="E14" s="432"/>
      <c r="F14" s="199" t="s">
        <v>10</v>
      </c>
      <c r="G14" s="200"/>
      <c r="H14" s="441" t="s">
        <v>11</v>
      </c>
      <c r="I14" s="431"/>
      <c r="J14" s="431"/>
      <c r="K14" s="431"/>
      <c r="L14" s="431"/>
      <c r="M14" s="432"/>
      <c r="N14" s="442" t="s">
        <v>76</v>
      </c>
      <c r="O14" s="431"/>
      <c r="P14" s="431"/>
      <c r="Q14" s="431"/>
      <c r="R14" s="431"/>
      <c r="S14" s="432"/>
      <c r="T14" s="443" t="s">
        <v>13</v>
      </c>
      <c r="U14" s="431"/>
      <c r="V14" s="431"/>
      <c r="W14" s="431"/>
      <c r="X14" s="431"/>
      <c r="Y14" s="432"/>
      <c r="Z14" s="430" t="s">
        <v>77</v>
      </c>
      <c r="AA14" s="431"/>
      <c r="AB14" s="431"/>
      <c r="AC14" s="431"/>
      <c r="AD14" s="431"/>
      <c r="AE14" s="432"/>
      <c r="AF14" s="430" t="s">
        <v>15</v>
      </c>
      <c r="AG14" s="431"/>
      <c r="AH14" s="431"/>
      <c r="AI14" s="431"/>
      <c r="AJ14" s="431"/>
      <c r="AK14" s="432"/>
      <c r="AL14" s="12"/>
      <c r="AM14" s="436" t="s">
        <v>16</v>
      </c>
      <c r="AN14" s="431"/>
      <c r="AO14" s="431"/>
      <c r="AP14" s="431"/>
      <c r="AQ14" s="431"/>
      <c r="AR14" s="432"/>
      <c r="AS14" s="430" t="s">
        <v>17</v>
      </c>
      <c r="AT14" s="431"/>
      <c r="AU14" s="431"/>
      <c r="AV14" s="431"/>
      <c r="AW14" s="431"/>
      <c r="AX14" s="432"/>
      <c r="AY14" s="12"/>
      <c r="AZ14" s="436" t="s">
        <v>16</v>
      </c>
      <c r="BA14" s="431"/>
      <c r="BB14" s="431"/>
      <c r="BC14" s="431"/>
      <c r="BD14" s="431"/>
      <c r="BE14" s="432"/>
      <c r="BF14" s="437" t="s">
        <v>18</v>
      </c>
      <c r="BG14" s="431"/>
      <c r="BH14" s="431"/>
      <c r="BI14" s="431"/>
      <c r="BJ14" s="431"/>
      <c r="BK14" s="432"/>
      <c r="BL14" s="438" t="s">
        <v>19</v>
      </c>
      <c r="BM14" s="431"/>
      <c r="BN14" s="431"/>
      <c r="BO14" s="431"/>
      <c r="BP14" s="431"/>
      <c r="BQ14" s="432"/>
      <c r="BR14" s="438" t="s">
        <v>20</v>
      </c>
      <c r="BS14" s="431"/>
      <c r="BT14" s="431"/>
      <c r="BU14" s="431"/>
      <c r="BV14" s="431"/>
      <c r="BW14" s="432"/>
      <c r="BX14" s="437" t="s">
        <v>78</v>
      </c>
      <c r="BY14" s="431"/>
      <c r="BZ14" s="431"/>
      <c r="CA14" s="431"/>
      <c r="CB14" s="431"/>
      <c r="CC14" s="432"/>
    </row>
    <row r="15" spans="1:81" ht="21" customHeight="1">
      <c r="A15" s="202"/>
      <c r="B15" s="203" t="s">
        <v>22</v>
      </c>
      <c r="C15" s="204"/>
      <c r="D15" s="203" t="s">
        <v>22</v>
      </c>
      <c r="E15" s="205"/>
      <c r="F15" s="203" t="s">
        <v>22</v>
      </c>
      <c r="G15" s="13">
        <f t="shared" ref="G15:G16" si="1">+C15+E15</f>
        <v>0</v>
      </c>
      <c r="H15" s="206" t="s">
        <v>23</v>
      </c>
      <c r="I15" s="14">
        <v>0</v>
      </c>
      <c r="J15" s="15">
        <f>+I15*C15</f>
        <v>0</v>
      </c>
      <c r="K15" s="207" t="s">
        <v>24</v>
      </c>
      <c r="L15" s="16">
        <v>0</v>
      </c>
      <c r="M15" s="208" t="e">
        <f>+L15/C16</f>
        <v>#DIV/0!</v>
      </c>
      <c r="N15" s="206" t="s">
        <v>23</v>
      </c>
      <c r="O15" s="14">
        <v>0</v>
      </c>
      <c r="P15" s="17">
        <f>+O15*C15</f>
        <v>0</v>
      </c>
      <c r="Q15" s="207" t="s">
        <v>24</v>
      </c>
      <c r="R15" s="16">
        <v>0</v>
      </c>
      <c r="S15" s="208" t="e">
        <f>+R15/C16</f>
        <v>#DIV/0!</v>
      </c>
      <c r="T15" s="207" t="s">
        <v>23</v>
      </c>
      <c r="U15" s="14">
        <v>0</v>
      </c>
      <c r="V15" s="17">
        <f>+U15*$C15</f>
        <v>0</v>
      </c>
      <c r="W15" s="207" t="s">
        <v>24</v>
      </c>
      <c r="X15" s="16">
        <v>0</v>
      </c>
      <c r="Y15" s="208" t="e">
        <f>+X15/C16</f>
        <v>#DIV/0!</v>
      </c>
      <c r="Z15" s="207" t="s">
        <v>23</v>
      </c>
      <c r="AA15" s="14">
        <v>0</v>
      </c>
      <c r="AB15" s="17">
        <f>+AA15*$C15</f>
        <v>0</v>
      </c>
      <c r="AC15" s="207" t="s">
        <v>24</v>
      </c>
      <c r="AD15" s="18"/>
      <c r="AE15" s="208" t="e">
        <f>+AD15/C16</f>
        <v>#DIV/0!</v>
      </c>
      <c r="AF15" s="206" t="s">
        <v>23</v>
      </c>
      <c r="AG15" s="14">
        <v>0</v>
      </c>
      <c r="AH15" s="17">
        <f>+AG15*C15</f>
        <v>0</v>
      </c>
      <c r="AI15" s="207" t="s">
        <v>24</v>
      </c>
      <c r="AJ15" s="18">
        <v>0</v>
      </c>
      <c r="AK15" s="208" t="e">
        <f>AJ15/C16</f>
        <v>#DIV/0!</v>
      </c>
      <c r="AL15" s="3"/>
      <c r="AM15" s="206" t="s">
        <v>23</v>
      </c>
      <c r="AN15" s="14"/>
      <c r="AO15" s="17">
        <f>+AN15*C15</f>
        <v>0</v>
      </c>
      <c r="AP15" s="207" t="s">
        <v>24</v>
      </c>
      <c r="AQ15" s="18"/>
      <c r="AR15" s="208" t="e">
        <f>+AQ15/C16</f>
        <v>#DIV/0!</v>
      </c>
      <c r="AS15" s="207" t="s">
        <v>23</v>
      </c>
      <c r="AT15" s="14">
        <v>0</v>
      </c>
      <c r="AU15" s="17">
        <f>+AT15*$C15</f>
        <v>0</v>
      </c>
      <c r="AV15" s="207" t="s">
        <v>24</v>
      </c>
      <c r="AW15" s="16">
        <v>0</v>
      </c>
      <c r="AX15" s="208" t="e">
        <f>+AW15/AB16</f>
        <v>#DIV/0!</v>
      </c>
      <c r="AY15" s="3"/>
      <c r="AZ15" s="206" t="s">
        <v>23</v>
      </c>
      <c r="BA15" s="14"/>
      <c r="BB15" s="17">
        <f>+BA15*P15</f>
        <v>0</v>
      </c>
      <c r="BC15" s="207" t="s">
        <v>24</v>
      </c>
      <c r="BD15" s="18"/>
      <c r="BE15" s="208" t="e">
        <f>+BD15/P16</f>
        <v>#DIV/0!</v>
      </c>
      <c r="BF15" s="207" t="s">
        <v>23</v>
      </c>
      <c r="BG15" s="14">
        <v>0</v>
      </c>
      <c r="BH15" s="17">
        <f>+BG15*$C15</f>
        <v>0</v>
      </c>
      <c r="BI15" s="207" t="s">
        <v>24</v>
      </c>
      <c r="BJ15" s="16">
        <v>0</v>
      </c>
      <c r="BK15" s="208" t="e">
        <f>+BJ15/AO16</f>
        <v>#DIV/0!</v>
      </c>
      <c r="BL15" s="206" t="s">
        <v>23</v>
      </c>
      <c r="BM15" s="14"/>
      <c r="BN15" s="15">
        <f>+BM15*P15</f>
        <v>0</v>
      </c>
      <c r="BO15" s="207" t="s">
        <v>24</v>
      </c>
      <c r="BP15" s="18">
        <v>0</v>
      </c>
      <c r="BQ15" s="208" t="e">
        <f>+BP15/P16</f>
        <v>#DIV/0!</v>
      </c>
      <c r="BR15" s="206" t="s">
        <v>23</v>
      </c>
      <c r="BS15" s="14"/>
      <c r="BT15" s="15">
        <f>+BS15*P15</f>
        <v>0</v>
      </c>
      <c r="BU15" s="207" t="s">
        <v>24</v>
      </c>
      <c r="BV15" s="18">
        <v>0</v>
      </c>
      <c r="BW15" s="208" t="e">
        <f>+BV15/P16</f>
        <v>#DIV/0!</v>
      </c>
      <c r="BX15" s="207" t="s">
        <v>23</v>
      </c>
      <c r="BY15" s="14">
        <v>0</v>
      </c>
      <c r="BZ15" s="17">
        <f>+BY15*$C15</f>
        <v>0</v>
      </c>
      <c r="CA15" s="207" t="s">
        <v>24</v>
      </c>
      <c r="CB15" s="16">
        <v>0</v>
      </c>
      <c r="CC15" s="208" t="e">
        <f>+CB15/BG16</f>
        <v>#DIV/0!</v>
      </c>
    </row>
    <row r="16" spans="1:81" ht="21" customHeight="1">
      <c r="A16" s="209" t="s">
        <v>79</v>
      </c>
      <c r="B16" s="210" t="s">
        <v>26</v>
      </c>
      <c r="C16" s="19"/>
      <c r="D16" s="210" t="s">
        <v>26</v>
      </c>
      <c r="E16" s="20"/>
      <c r="F16" s="210" t="s">
        <v>26</v>
      </c>
      <c r="G16" s="211">
        <f t="shared" si="1"/>
        <v>0</v>
      </c>
      <c r="H16" s="21" t="s">
        <v>27</v>
      </c>
      <c r="I16" s="212">
        <v>0</v>
      </c>
      <c r="J16" s="213">
        <f>+E15*I16</f>
        <v>0</v>
      </c>
      <c r="K16" s="22" t="s">
        <v>28</v>
      </c>
      <c r="L16" s="214">
        <v>0</v>
      </c>
      <c r="M16" s="215" t="e">
        <f>+L16/E16</f>
        <v>#DIV/0!</v>
      </c>
      <c r="N16" s="21" t="s">
        <v>27</v>
      </c>
      <c r="O16" s="216">
        <v>0</v>
      </c>
      <c r="P16" s="217">
        <f>+O16*E15</f>
        <v>0</v>
      </c>
      <c r="Q16" s="22" t="s">
        <v>28</v>
      </c>
      <c r="R16" s="214">
        <v>0</v>
      </c>
      <c r="S16" s="215" t="e">
        <f>+R16/E16</f>
        <v>#DIV/0!</v>
      </c>
      <c r="T16" s="22" t="s">
        <v>27</v>
      </c>
      <c r="U16" s="216">
        <v>0</v>
      </c>
      <c r="V16" s="217">
        <f>+U16*$E15</f>
        <v>0</v>
      </c>
      <c r="W16" s="22" t="s">
        <v>28</v>
      </c>
      <c r="X16" s="214">
        <v>0</v>
      </c>
      <c r="Y16" s="215" t="e">
        <f>+X16/E16</f>
        <v>#DIV/0!</v>
      </c>
      <c r="Z16" s="22" t="s">
        <v>27</v>
      </c>
      <c r="AA16" s="218"/>
      <c r="AB16" s="23">
        <f>+E15*AA16</f>
        <v>0</v>
      </c>
      <c r="AC16" s="219" t="s">
        <v>28</v>
      </c>
      <c r="AD16" s="220"/>
      <c r="AE16" s="24" t="e">
        <f>+AD16/E16</f>
        <v>#DIV/0!</v>
      </c>
      <c r="AF16" s="21" t="s">
        <v>27</v>
      </c>
      <c r="AG16" s="216">
        <v>0</v>
      </c>
      <c r="AH16" s="217">
        <f>+AG16*E15</f>
        <v>0</v>
      </c>
      <c r="AI16" s="22" t="s">
        <v>28</v>
      </c>
      <c r="AJ16" s="221">
        <v>0</v>
      </c>
      <c r="AK16" s="215" t="e">
        <f>+AJ16/E16</f>
        <v>#DIV/0!</v>
      </c>
      <c r="AL16" s="3"/>
      <c r="AM16" s="21" t="s">
        <v>27</v>
      </c>
      <c r="AN16" s="216"/>
      <c r="AO16" s="217">
        <f>+AN16*E15</f>
        <v>0</v>
      </c>
      <c r="AP16" s="22" t="s">
        <v>28</v>
      </c>
      <c r="AQ16" s="221"/>
      <c r="AR16" s="215" t="e">
        <f>+AQ16/E16</f>
        <v>#DIV/0!</v>
      </c>
      <c r="AS16" s="22" t="s">
        <v>27</v>
      </c>
      <c r="AT16" s="216">
        <v>0</v>
      </c>
      <c r="AU16" s="217">
        <f>+AT16*$E15</f>
        <v>0</v>
      </c>
      <c r="AV16" s="22" t="s">
        <v>28</v>
      </c>
      <c r="AW16" s="214">
        <v>0</v>
      </c>
      <c r="AX16" s="215" t="e">
        <f>+AW16/AD16</f>
        <v>#DIV/0!</v>
      </c>
      <c r="AY16" s="3"/>
      <c r="AZ16" s="21" t="s">
        <v>27</v>
      </c>
      <c r="BA16" s="216"/>
      <c r="BB16" s="217">
        <f>+BA16*R15</f>
        <v>0</v>
      </c>
      <c r="BC16" s="22" t="s">
        <v>28</v>
      </c>
      <c r="BD16" s="221"/>
      <c r="BE16" s="215" t="e">
        <f>+BD16/R16</f>
        <v>#DIV/0!</v>
      </c>
      <c r="BF16" s="22" t="s">
        <v>27</v>
      </c>
      <c r="BG16" s="216">
        <v>0</v>
      </c>
      <c r="BH16" s="217">
        <f>+BG16*$E15</f>
        <v>0</v>
      </c>
      <c r="BI16" s="22" t="s">
        <v>28</v>
      </c>
      <c r="BJ16" s="214">
        <v>0</v>
      </c>
      <c r="BK16" s="215" t="e">
        <f>+BJ16/AQ16</f>
        <v>#DIV/0!</v>
      </c>
      <c r="BL16" s="21" t="s">
        <v>27</v>
      </c>
      <c r="BM16" s="212">
        <v>0</v>
      </c>
      <c r="BN16" s="213">
        <f>+BM16*R15</f>
        <v>0</v>
      </c>
      <c r="BO16" s="22" t="s">
        <v>28</v>
      </c>
      <c r="BP16" s="221">
        <v>0</v>
      </c>
      <c r="BQ16" s="215" t="e">
        <f>+BP16/R16</f>
        <v>#DIV/0!</v>
      </c>
      <c r="BR16" s="21" t="s">
        <v>27</v>
      </c>
      <c r="BS16" s="212"/>
      <c r="BT16" s="213">
        <f>+BS16*R15</f>
        <v>0</v>
      </c>
      <c r="BU16" s="22" t="s">
        <v>28</v>
      </c>
      <c r="BV16" s="221">
        <v>0</v>
      </c>
      <c r="BW16" s="215" t="e">
        <f>+BV16/R16</f>
        <v>#DIV/0!</v>
      </c>
      <c r="BX16" s="22" t="s">
        <v>27</v>
      </c>
      <c r="BY16" s="216">
        <v>0</v>
      </c>
      <c r="BZ16" s="217">
        <f>+BY16*$E15</f>
        <v>0</v>
      </c>
      <c r="CA16" s="22" t="s">
        <v>28</v>
      </c>
      <c r="CB16" s="214">
        <v>0</v>
      </c>
      <c r="CC16" s="215" t="e">
        <f>+CB16/BI16</f>
        <v>#VALUE!</v>
      </c>
    </row>
    <row r="17" spans="1:81" ht="21" customHeight="1">
      <c r="A17" s="222" t="s">
        <v>80</v>
      </c>
      <c r="B17" s="453" t="s">
        <v>30</v>
      </c>
      <c r="C17" s="454"/>
      <c r="D17" s="455"/>
      <c r="E17" s="456" t="e">
        <f>+(J15+J20+#REF!+V15+AB15+AH15+AO15++AU15+AU20+BA15+BA20+BG15+BG20+BM15+BM20)/C15</f>
        <v>#REF!</v>
      </c>
      <c r="F17" s="457"/>
      <c r="G17" s="458" t="e">
        <f>+(J17+J22+#REF!+V17+AB17+AH17+AO17+AU17+AU22+BA17+BA22+BG17+BG22+BM17+BM22)/(G15)</f>
        <v>#REF!</v>
      </c>
      <c r="H17" s="223" t="s">
        <v>31</v>
      </c>
      <c r="I17" s="224" t="e">
        <f>+J17/G15</f>
        <v>#DIV/0!</v>
      </c>
      <c r="J17" s="25">
        <f>SUM(J15:J16)</f>
        <v>0</v>
      </c>
      <c r="K17" s="225" t="s">
        <v>32</v>
      </c>
      <c r="L17" s="226">
        <f>SUM(L15:L16)</f>
        <v>0</v>
      </c>
      <c r="M17" s="227" t="e">
        <f>+L17/G16</f>
        <v>#DIV/0!</v>
      </c>
      <c r="N17" s="223" t="s">
        <v>31</v>
      </c>
      <c r="O17" s="224" t="e">
        <f>+P17/G15</f>
        <v>#DIV/0!</v>
      </c>
      <c r="P17" s="26">
        <f>+P15+P16</f>
        <v>0</v>
      </c>
      <c r="Q17" s="27" t="s">
        <v>31</v>
      </c>
      <c r="R17" s="226">
        <f>SUM(R15:R16)</f>
        <v>0</v>
      </c>
      <c r="S17" s="227" t="e">
        <f>+R17/G16</f>
        <v>#DIV/0!</v>
      </c>
      <c r="T17" s="225" t="s">
        <v>31</v>
      </c>
      <c r="U17" s="224" t="e">
        <f>+V17/$G15</f>
        <v>#DIV/0!</v>
      </c>
      <c r="V17" s="26">
        <f>SUM(V15:V16)</f>
        <v>0</v>
      </c>
      <c r="W17" s="27" t="s">
        <v>31</v>
      </c>
      <c r="X17" s="226">
        <f>SUM(X15:X16)</f>
        <v>0</v>
      </c>
      <c r="Y17" s="227" t="e">
        <f>+X17/G16</f>
        <v>#DIV/0!</v>
      </c>
      <c r="Z17" s="225" t="s">
        <v>31</v>
      </c>
      <c r="AA17" s="224" t="e">
        <f>+AB17/$G15</f>
        <v>#DIV/0!</v>
      </c>
      <c r="AB17" s="26">
        <f>+AB15+AB16</f>
        <v>0</v>
      </c>
      <c r="AC17" s="27" t="s">
        <v>31</v>
      </c>
      <c r="AD17" s="225">
        <f>SUM(AD15:AD16)</f>
        <v>0</v>
      </c>
      <c r="AE17" s="227" t="e">
        <f>+AD17/G16</f>
        <v>#DIV/0!</v>
      </c>
      <c r="AF17" s="223" t="s">
        <v>31</v>
      </c>
      <c r="AG17" s="224" t="e">
        <f>+AH17/G15</f>
        <v>#DIV/0!</v>
      </c>
      <c r="AH17" s="26">
        <f>+AH15+AH16</f>
        <v>0</v>
      </c>
      <c r="AI17" s="27" t="s">
        <v>31</v>
      </c>
      <c r="AJ17" s="225">
        <f>SUM(AJ15:AJ16)</f>
        <v>0</v>
      </c>
      <c r="AK17" s="227" t="e">
        <f>+AJ17/G16</f>
        <v>#DIV/0!</v>
      </c>
      <c r="AL17" s="28"/>
      <c r="AM17" s="223" t="s">
        <v>31</v>
      </c>
      <c r="AN17" s="224" t="e">
        <f>+AO17/G15</f>
        <v>#DIV/0!</v>
      </c>
      <c r="AO17" s="26">
        <f>+AO15+AO16</f>
        <v>0</v>
      </c>
      <c r="AP17" s="27" t="s">
        <v>31</v>
      </c>
      <c r="AQ17" s="225">
        <f>SUM(AQ15:AQ16)</f>
        <v>0</v>
      </c>
      <c r="AR17" s="227" t="e">
        <f>+AQ17/G16</f>
        <v>#DIV/0!</v>
      </c>
      <c r="AS17" s="223" t="s">
        <v>31</v>
      </c>
      <c r="AT17" s="224" t="e">
        <f>+AU17/T15</f>
        <v>#VALUE!</v>
      </c>
      <c r="AU17" s="26">
        <f>+AU15+AU16</f>
        <v>0</v>
      </c>
      <c r="AV17" s="27" t="s">
        <v>31</v>
      </c>
      <c r="AW17" s="226">
        <f>SUM(AW15:AW16)</f>
        <v>0</v>
      </c>
      <c r="AX17" s="227" t="e">
        <f>+AW17/T16</f>
        <v>#VALUE!</v>
      </c>
      <c r="AY17" s="28"/>
      <c r="AZ17" s="223" t="s">
        <v>31</v>
      </c>
      <c r="BA17" s="224" t="e">
        <f>+BB17/T15</f>
        <v>#VALUE!</v>
      </c>
      <c r="BB17" s="26">
        <f>+BB15+BB16</f>
        <v>0</v>
      </c>
      <c r="BC17" s="27" t="s">
        <v>31</v>
      </c>
      <c r="BD17" s="225">
        <f>SUM(BD15:BD16)</f>
        <v>0</v>
      </c>
      <c r="BE17" s="227" t="e">
        <f>+BD17/T16</f>
        <v>#VALUE!</v>
      </c>
      <c r="BF17" s="223" t="s">
        <v>31</v>
      </c>
      <c r="BG17" s="224" t="e">
        <f>+BH17/T15</f>
        <v>#VALUE!</v>
      </c>
      <c r="BH17" s="25">
        <f>SUM(BH15:BH16)</f>
        <v>0</v>
      </c>
      <c r="BI17" s="27" t="s">
        <v>31</v>
      </c>
      <c r="BJ17" s="226">
        <f>SUM(BJ15:BJ16)</f>
        <v>0</v>
      </c>
      <c r="BK17" s="227" t="e">
        <f>+BJ17/T16</f>
        <v>#VALUE!</v>
      </c>
      <c r="BL17" s="223" t="s">
        <v>31</v>
      </c>
      <c r="BM17" s="224" t="e">
        <f>+BN17/T15</f>
        <v>#VALUE!</v>
      </c>
      <c r="BN17" s="25">
        <f>SUM(BN15:BN16)</f>
        <v>0</v>
      </c>
      <c r="BO17" s="27" t="s">
        <v>31</v>
      </c>
      <c r="BP17" s="225">
        <f>SUM(BP15:BP16)</f>
        <v>0</v>
      </c>
      <c r="BQ17" s="227" t="e">
        <f>+BP17/T16</f>
        <v>#VALUE!</v>
      </c>
      <c r="BR17" s="223" t="s">
        <v>31</v>
      </c>
      <c r="BS17" s="224" t="e">
        <f>+BT17/T15</f>
        <v>#VALUE!</v>
      </c>
      <c r="BT17" s="25">
        <f>SUM(BT15:BT16)</f>
        <v>0</v>
      </c>
      <c r="BU17" s="27" t="s">
        <v>31</v>
      </c>
      <c r="BV17" s="225">
        <f>SUM(BV15:BV16)</f>
        <v>0</v>
      </c>
      <c r="BW17" s="227" t="e">
        <f>+BV17/T16</f>
        <v>#VALUE!</v>
      </c>
      <c r="BX17" s="223" t="s">
        <v>31</v>
      </c>
      <c r="BY17" s="224" t="e">
        <f>+BZ17/T15</f>
        <v>#VALUE!</v>
      </c>
      <c r="BZ17" s="25">
        <f>SUM(BZ15:BZ16)</f>
        <v>0</v>
      </c>
      <c r="CA17" s="27" t="s">
        <v>31</v>
      </c>
      <c r="CB17" s="226">
        <f>SUM(CB15:CB16)</f>
        <v>0</v>
      </c>
      <c r="CC17" s="227" t="e">
        <f>+CB17/T16</f>
        <v>#VALUE!</v>
      </c>
    </row>
    <row r="18" spans="1:81" ht="21" customHeight="1">
      <c r="A18" s="222" t="s">
        <v>81</v>
      </c>
      <c r="B18" s="460" t="s">
        <v>34</v>
      </c>
      <c r="C18" s="461"/>
      <c r="D18" s="462"/>
      <c r="E18" s="463" t="e">
        <f>+(J16+J21+#REF!+V16+AB16+AH16+AO16+AU16+AU21+BA16+BA21+BG16+BG21+BM16+BM21)/E15</f>
        <v>#REF!</v>
      </c>
      <c r="F18" s="464"/>
      <c r="G18" s="459"/>
      <c r="H18" s="228" t="s">
        <v>82</v>
      </c>
      <c r="I18" s="29"/>
      <c r="J18" s="29"/>
      <c r="K18" s="3"/>
      <c r="L18" s="229">
        <v>0.22</v>
      </c>
      <c r="M18" s="230">
        <f>+L18*J17</f>
        <v>0</v>
      </c>
      <c r="N18" s="231" t="s">
        <v>83</v>
      </c>
      <c r="O18" s="232"/>
      <c r="P18" s="232"/>
      <c r="Q18" s="30"/>
      <c r="R18" s="30">
        <v>0.04</v>
      </c>
      <c r="S18" s="233">
        <f>R18*P17</f>
        <v>0</v>
      </c>
      <c r="T18" s="231" t="s">
        <v>37</v>
      </c>
      <c r="U18" s="232"/>
      <c r="V18" s="232"/>
      <c r="W18" s="31"/>
      <c r="X18" s="31">
        <v>0.15</v>
      </c>
      <c r="Y18" s="234">
        <f>X18*V17</f>
        <v>0</v>
      </c>
      <c r="Z18" s="254" t="s">
        <v>84</v>
      </c>
      <c r="AA18" s="50"/>
      <c r="AB18" s="50"/>
      <c r="AC18" s="34"/>
      <c r="AD18" s="34">
        <v>0.15</v>
      </c>
      <c r="AE18" s="234">
        <f>AD18*AB17</f>
        <v>0</v>
      </c>
      <c r="AF18" s="231" t="s">
        <v>39</v>
      </c>
      <c r="AG18" s="35"/>
      <c r="AH18" s="36"/>
      <c r="AI18" s="36"/>
      <c r="AJ18" s="37">
        <v>7.4999999999999997E-2</v>
      </c>
      <c r="AK18" s="234">
        <f>AJ18*AH17</f>
        <v>0</v>
      </c>
      <c r="AL18" s="38"/>
      <c r="AM18" s="235" t="s">
        <v>40</v>
      </c>
      <c r="AN18" s="32"/>
      <c r="AO18" s="33"/>
      <c r="AP18" s="33"/>
      <c r="AQ18" s="39">
        <v>1</v>
      </c>
      <c r="AR18" s="234">
        <f>AQ18*AO17</f>
        <v>0</v>
      </c>
      <c r="AS18" s="231" t="s">
        <v>41</v>
      </c>
      <c r="AT18" s="35"/>
      <c r="AU18" s="36"/>
      <c r="AV18" s="36"/>
      <c r="AW18" s="37">
        <v>0.83</v>
      </c>
      <c r="AX18" s="234">
        <f>AW18*AU17</f>
        <v>0</v>
      </c>
      <c r="AY18" s="38"/>
      <c r="AZ18" s="235" t="s">
        <v>40</v>
      </c>
      <c r="BA18" s="32"/>
      <c r="BB18" s="33"/>
      <c r="BC18" s="33"/>
      <c r="BD18" s="39">
        <v>1</v>
      </c>
      <c r="BE18" s="234">
        <f>BD18*BB17</f>
        <v>0</v>
      </c>
      <c r="BF18" s="465" t="s">
        <v>42</v>
      </c>
      <c r="BG18" s="461"/>
      <c r="BH18" s="461"/>
      <c r="BI18" s="236"/>
      <c r="BJ18" s="237">
        <v>0.1</v>
      </c>
      <c r="BK18" s="230">
        <f>+BJ18*BH17</f>
        <v>0</v>
      </c>
      <c r="BL18" s="465"/>
      <c r="BM18" s="461"/>
      <c r="BN18" s="461"/>
      <c r="BO18" s="40"/>
      <c r="BP18" s="41">
        <f>+BN17*BO18</f>
        <v>0</v>
      </c>
      <c r="BQ18" s="238"/>
      <c r="BR18" s="465" t="s">
        <v>43</v>
      </c>
      <c r="BS18" s="461"/>
      <c r="BT18" s="461"/>
      <c r="BU18" s="239">
        <v>0.1</v>
      </c>
      <c r="BV18" s="240">
        <f>+BT17*BU18</f>
        <v>0</v>
      </c>
      <c r="BW18" s="211"/>
      <c r="BX18" s="465" t="s">
        <v>44</v>
      </c>
      <c r="BY18" s="461"/>
      <c r="BZ18" s="461"/>
      <c r="CA18" s="3"/>
      <c r="CB18" s="40">
        <v>0.09</v>
      </c>
      <c r="CC18" s="241">
        <f>+BZ17*CB18</f>
        <v>0</v>
      </c>
    </row>
    <row r="19" spans="1:81" ht="21" customHeight="1">
      <c r="A19" s="222" t="s">
        <v>45</v>
      </c>
      <c r="B19" s="453" t="s">
        <v>46</v>
      </c>
      <c r="C19" s="454"/>
      <c r="D19" s="455"/>
      <c r="E19" s="466" t="e">
        <f>+(L17+L22+#REF!+X17+AD17+AJ17+AQ17+AW17+AW22+BC17+BC22+BI17+BI22+BO17+BO22)/G16</f>
        <v>#REF!</v>
      </c>
      <c r="F19" s="467"/>
      <c r="G19" s="468"/>
      <c r="H19" s="441" t="s">
        <v>47</v>
      </c>
      <c r="I19" s="431"/>
      <c r="J19" s="431"/>
      <c r="K19" s="431"/>
      <c r="L19" s="431"/>
      <c r="M19" s="432"/>
      <c r="N19" s="231" t="s">
        <v>85</v>
      </c>
      <c r="O19" s="36"/>
      <c r="P19" s="36"/>
      <c r="Q19" s="36"/>
      <c r="R19" s="30">
        <v>0.16</v>
      </c>
      <c r="S19" s="233">
        <f>R19*P17</f>
        <v>0</v>
      </c>
      <c r="T19" s="231" t="s">
        <v>49</v>
      </c>
      <c r="U19" s="35"/>
      <c r="V19" s="36"/>
      <c r="W19" s="36"/>
      <c r="X19" s="37">
        <v>4.0000000000000001E-3</v>
      </c>
      <c r="Y19" s="234">
        <f>X19*V17</f>
        <v>0</v>
      </c>
      <c r="Z19" s="235" t="s">
        <v>86</v>
      </c>
      <c r="AA19" s="32"/>
      <c r="AB19" s="33"/>
      <c r="AC19" s="33"/>
      <c r="AD19" s="39">
        <v>0.06</v>
      </c>
      <c r="AE19" s="234">
        <f>AD19*AB17</f>
        <v>0</v>
      </c>
      <c r="AF19" s="231" t="s">
        <v>51</v>
      </c>
      <c r="AG19" s="35"/>
      <c r="AH19" s="36"/>
      <c r="AI19" s="36"/>
      <c r="AJ19" s="37">
        <v>5.0000000000000001E-3</v>
      </c>
      <c r="AK19" s="234">
        <f>AJ19*AH17</f>
        <v>0</v>
      </c>
      <c r="AL19" s="28"/>
      <c r="AM19" s="235" t="s">
        <v>52</v>
      </c>
      <c r="AN19" s="32"/>
      <c r="AO19" s="33"/>
      <c r="AP19" s="33"/>
      <c r="AQ19" s="39">
        <v>0.125</v>
      </c>
      <c r="AR19" s="234">
        <f>AQ19*AO17</f>
        <v>0</v>
      </c>
      <c r="AS19" s="231" t="s">
        <v>53</v>
      </c>
      <c r="AT19" s="35"/>
      <c r="AU19" s="36"/>
      <c r="AV19" s="36"/>
      <c r="AW19" s="37">
        <v>0.13</v>
      </c>
      <c r="AX19" s="234">
        <f>AW19*AU17</f>
        <v>0</v>
      </c>
      <c r="AY19" s="28"/>
      <c r="AZ19" s="235" t="s">
        <v>52</v>
      </c>
      <c r="BA19" s="32"/>
      <c r="BB19" s="33"/>
      <c r="BC19" s="33"/>
      <c r="BD19" s="39">
        <v>0.125</v>
      </c>
      <c r="BE19" s="234">
        <f>BD19*BB17</f>
        <v>0</v>
      </c>
      <c r="BF19" s="437" t="s">
        <v>54</v>
      </c>
      <c r="BG19" s="431"/>
      <c r="BH19" s="431"/>
      <c r="BI19" s="431"/>
      <c r="BJ19" s="431"/>
      <c r="BK19" s="432"/>
      <c r="BL19" s="438"/>
      <c r="BM19" s="431"/>
      <c r="BN19" s="431"/>
      <c r="BO19" s="431"/>
      <c r="BP19" s="431"/>
      <c r="BQ19" s="432"/>
      <c r="BR19" s="438"/>
      <c r="BS19" s="431"/>
      <c r="BT19" s="431"/>
      <c r="BU19" s="431"/>
      <c r="BV19" s="431"/>
      <c r="BW19" s="432"/>
      <c r="BX19" s="437" t="s">
        <v>55</v>
      </c>
      <c r="BY19" s="431"/>
      <c r="BZ19" s="431"/>
      <c r="CA19" s="431"/>
      <c r="CB19" s="431"/>
      <c r="CC19" s="432"/>
    </row>
    <row r="20" spans="1:81" ht="21" customHeight="1">
      <c r="A20" s="222" t="s">
        <v>56</v>
      </c>
      <c r="B20" s="469"/>
      <c r="C20" s="454"/>
      <c r="D20" s="454"/>
      <c r="E20" s="454"/>
      <c r="F20" s="454"/>
      <c r="G20" s="457"/>
      <c r="H20" s="206" t="s">
        <v>23</v>
      </c>
      <c r="I20" s="14">
        <v>0</v>
      </c>
      <c r="J20" s="15">
        <f>+I20*C15</f>
        <v>0</v>
      </c>
      <c r="K20" s="207" t="s">
        <v>24</v>
      </c>
      <c r="L20" s="16">
        <v>0</v>
      </c>
      <c r="M20" s="208" t="e">
        <f>+L20/C16</f>
        <v>#DIV/0!</v>
      </c>
      <c r="N20" s="231" t="s">
        <v>87</v>
      </c>
      <c r="O20" s="36"/>
      <c r="P20" s="36"/>
      <c r="Q20" s="36"/>
      <c r="R20" s="30">
        <v>0.05</v>
      </c>
      <c r="S20" s="233">
        <f>R20*P17</f>
        <v>0</v>
      </c>
      <c r="T20" s="244" t="s">
        <v>58</v>
      </c>
      <c r="U20" s="42"/>
      <c r="V20" s="43"/>
      <c r="W20" s="43"/>
      <c r="X20" s="37">
        <v>7.0000000000000001E-3</v>
      </c>
      <c r="Y20" s="234">
        <f>X20*V17</f>
        <v>0</v>
      </c>
      <c r="Z20" s="243"/>
      <c r="AA20" s="45"/>
      <c r="AB20" s="44"/>
      <c r="AC20" s="44"/>
      <c r="AD20" s="39"/>
      <c r="AE20" s="234">
        <f>AD20*AB17</f>
        <v>0</v>
      </c>
      <c r="AF20" s="245"/>
      <c r="AG20" s="42"/>
      <c r="AH20" s="43"/>
      <c r="AI20" s="43"/>
      <c r="AJ20" s="39"/>
      <c r="AK20" s="234">
        <f>AJ20*AH17</f>
        <v>0</v>
      </c>
      <c r="AL20" s="28"/>
      <c r="AM20" s="246" t="s">
        <v>60</v>
      </c>
      <c r="AN20" s="45"/>
      <c r="AO20" s="44"/>
      <c r="AP20" s="44"/>
      <c r="AQ20" s="39">
        <v>0.03</v>
      </c>
      <c r="AR20" s="234">
        <f>AQ20*AO17</f>
        <v>0</v>
      </c>
      <c r="AS20" s="245" t="s">
        <v>61</v>
      </c>
      <c r="AT20" s="42"/>
      <c r="AU20" s="43"/>
      <c r="AV20" s="43"/>
      <c r="AW20" s="39">
        <v>0.7</v>
      </c>
      <c r="AX20" s="234">
        <f>AW20*AU17</f>
        <v>0</v>
      </c>
      <c r="AY20" s="28"/>
      <c r="AZ20" s="246" t="s">
        <v>60</v>
      </c>
      <c r="BA20" s="45"/>
      <c r="BB20" s="44"/>
      <c r="BC20" s="44"/>
      <c r="BD20" s="39">
        <v>0.03</v>
      </c>
      <c r="BE20" s="234">
        <f>BD20*BB17</f>
        <v>0</v>
      </c>
      <c r="BF20" s="207" t="s">
        <v>23</v>
      </c>
      <c r="BG20" s="14">
        <v>0</v>
      </c>
      <c r="BH20" s="17">
        <f>+BG20*$C20</f>
        <v>0</v>
      </c>
      <c r="BI20" s="207" t="s">
        <v>24</v>
      </c>
      <c r="BJ20" s="16">
        <v>0</v>
      </c>
      <c r="BK20" s="208" t="e">
        <f>+BJ20/AO21</f>
        <v>#DIV/0!</v>
      </c>
      <c r="BL20" s="206"/>
      <c r="BM20" s="14"/>
      <c r="BN20" s="15"/>
      <c r="BO20" s="207"/>
      <c r="BP20" s="18"/>
      <c r="BQ20" s="208"/>
      <c r="BR20" s="206" t="s">
        <v>62</v>
      </c>
      <c r="BS20" s="14"/>
      <c r="BT20" s="15">
        <f>+BS20*P15</f>
        <v>0</v>
      </c>
      <c r="BU20" s="207" t="s">
        <v>24</v>
      </c>
      <c r="BV20" s="18">
        <v>0</v>
      </c>
      <c r="BW20" s="208" t="e">
        <f>+BV20/P16</f>
        <v>#DIV/0!</v>
      </c>
      <c r="BX20" s="207" t="s">
        <v>23</v>
      </c>
      <c r="BY20" s="14">
        <v>0</v>
      </c>
      <c r="BZ20" s="17">
        <f>+BY20*$C20</f>
        <v>0</v>
      </c>
      <c r="CA20" s="207" t="s">
        <v>24</v>
      </c>
      <c r="CB20" s="16">
        <v>0</v>
      </c>
      <c r="CC20" s="208" t="e">
        <f>+CB20/BG21</f>
        <v>#DIV/0!</v>
      </c>
    </row>
    <row r="21" spans="1:81" ht="21" customHeight="1">
      <c r="A21" s="222"/>
      <c r="B21" s="242"/>
      <c r="C21" s="51"/>
      <c r="D21" s="51"/>
      <c r="E21" s="51"/>
      <c r="F21" s="51"/>
      <c r="G21" s="238"/>
      <c r="H21" s="21" t="s">
        <v>27</v>
      </c>
      <c r="I21" s="212">
        <v>0</v>
      </c>
      <c r="J21" s="213">
        <f>+I21*E15</f>
        <v>0</v>
      </c>
      <c r="K21" s="22" t="s">
        <v>28</v>
      </c>
      <c r="L21" s="214">
        <v>0</v>
      </c>
      <c r="M21" s="215" t="e">
        <f>+L21/E16</f>
        <v>#DIV/0!</v>
      </c>
      <c r="N21" s="231" t="s">
        <v>88</v>
      </c>
      <c r="O21" s="36"/>
      <c r="P21" s="36"/>
      <c r="Q21" s="36"/>
      <c r="R21" s="30">
        <v>0.16</v>
      </c>
      <c r="S21" s="233">
        <f>R21*P17</f>
        <v>0</v>
      </c>
      <c r="T21" s="244" t="s">
        <v>53</v>
      </c>
      <c r="U21" s="42"/>
      <c r="V21" s="43"/>
      <c r="W21" s="43"/>
      <c r="X21" s="37">
        <v>1E-3</v>
      </c>
      <c r="Y21" s="234">
        <f>X21*V17</f>
        <v>0</v>
      </c>
      <c r="Z21" s="243"/>
      <c r="AA21" s="45"/>
      <c r="AB21" s="44"/>
      <c r="AC21" s="44"/>
      <c r="AD21" s="39"/>
      <c r="AE21" s="234">
        <f>AD21*AB17</f>
        <v>0</v>
      </c>
      <c r="AF21" s="245"/>
      <c r="AG21" s="42"/>
      <c r="AH21" s="43"/>
      <c r="AI21" s="43"/>
      <c r="AJ21" s="37"/>
      <c r="AK21" s="234">
        <f>AJ21*AH17</f>
        <v>0</v>
      </c>
      <c r="AL21" s="28"/>
      <c r="AM21" s="246" t="s">
        <v>64</v>
      </c>
      <c r="AN21" s="45"/>
      <c r="AO21" s="44"/>
      <c r="AP21" s="44"/>
      <c r="AQ21" s="39">
        <v>3.0000000000000001E-3</v>
      </c>
      <c r="AR21" s="234">
        <f>AQ21*AO17</f>
        <v>0</v>
      </c>
      <c r="AS21" s="245" t="s">
        <v>65</v>
      </c>
      <c r="AT21" s="42"/>
      <c r="AU21" s="43"/>
      <c r="AV21" s="43"/>
      <c r="AW21" s="37">
        <v>0.05</v>
      </c>
      <c r="AX21" s="234">
        <f>AW21*AU17</f>
        <v>0</v>
      </c>
      <c r="AY21" s="28"/>
      <c r="AZ21" s="246" t="s">
        <v>64</v>
      </c>
      <c r="BA21" s="45"/>
      <c r="BB21" s="44"/>
      <c r="BC21" s="44"/>
      <c r="BD21" s="39">
        <v>3.0000000000000001E-3</v>
      </c>
      <c r="BE21" s="234">
        <f>BD21*BB17</f>
        <v>0</v>
      </c>
      <c r="BF21" s="22" t="s">
        <v>27</v>
      </c>
      <c r="BG21" s="216">
        <v>0</v>
      </c>
      <c r="BH21" s="217">
        <f>+BG21*$E20</f>
        <v>0</v>
      </c>
      <c r="BI21" s="22" t="s">
        <v>28</v>
      </c>
      <c r="BJ21" s="214">
        <v>0</v>
      </c>
      <c r="BK21" s="215">
        <f>+BJ21/AQ21</f>
        <v>0</v>
      </c>
      <c r="BL21" s="21"/>
      <c r="BM21" s="212"/>
      <c r="BN21" s="213"/>
      <c r="BO21" s="22"/>
      <c r="BP21" s="221"/>
      <c r="BQ21" s="215"/>
      <c r="BR21" s="21" t="s">
        <v>66</v>
      </c>
      <c r="BS21" s="212">
        <v>0</v>
      </c>
      <c r="BT21" s="213">
        <f>+BS21*R15</f>
        <v>0</v>
      </c>
      <c r="BU21" s="22" t="s">
        <v>28</v>
      </c>
      <c r="BV21" s="221">
        <v>0</v>
      </c>
      <c r="BW21" s="215" t="e">
        <f>+BV21/R16</f>
        <v>#DIV/0!</v>
      </c>
      <c r="BX21" s="22" t="s">
        <v>27</v>
      </c>
      <c r="BY21" s="216">
        <v>0</v>
      </c>
      <c r="BZ21" s="217">
        <f>+BY21*$E20</f>
        <v>0</v>
      </c>
      <c r="CA21" s="22" t="s">
        <v>28</v>
      </c>
      <c r="CB21" s="214">
        <v>0</v>
      </c>
      <c r="CC21" s="215" t="e">
        <f>+CB21/BI21</f>
        <v>#VALUE!</v>
      </c>
    </row>
    <row r="22" spans="1:81" ht="21" customHeight="1">
      <c r="A22" s="222"/>
      <c r="B22" s="256"/>
      <c r="C22" s="51"/>
      <c r="D22" s="51"/>
      <c r="E22" s="51"/>
      <c r="F22" s="51"/>
      <c r="G22" s="238"/>
      <c r="H22" s="223" t="s">
        <v>31</v>
      </c>
      <c r="I22" s="224" t="e">
        <f>+J22/G15</f>
        <v>#DIV/0!</v>
      </c>
      <c r="J22" s="25">
        <f>SUM(J20:J21)</f>
        <v>0</v>
      </c>
      <c r="K22" s="225" t="s">
        <v>32</v>
      </c>
      <c r="L22" s="226">
        <f>SUM(L20:L21)</f>
        <v>0</v>
      </c>
      <c r="M22" s="227" t="e">
        <f>+L22/G16</f>
        <v>#DIV/0!</v>
      </c>
      <c r="N22" s="243"/>
      <c r="O22" s="44"/>
      <c r="P22" s="44"/>
      <c r="Q22" s="44"/>
      <c r="R22" s="39"/>
      <c r="S22" s="233">
        <f>R22*P17</f>
        <v>0</v>
      </c>
      <c r="T22" s="231" t="s">
        <v>67</v>
      </c>
      <c r="U22" s="42"/>
      <c r="V22" s="43"/>
      <c r="W22" s="43"/>
      <c r="X22" s="37">
        <v>1E-3</v>
      </c>
      <c r="Y22" s="234">
        <f>X22*V17</f>
        <v>0</v>
      </c>
      <c r="Z22" s="246"/>
      <c r="AA22" s="45"/>
      <c r="AB22" s="44"/>
      <c r="AC22" s="44"/>
      <c r="AD22" s="46"/>
      <c r="AE22" s="234">
        <f>AD22*AB17</f>
        <v>0</v>
      </c>
      <c r="AF22" s="244"/>
      <c r="AG22" s="42"/>
      <c r="AH22" s="43"/>
      <c r="AI22" s="43"/>
      <c r="AJ22" s="46"/>
      <c r="AK22" s="234">
        <f>AJ22*AH17</f>
        <v>0</v>
      </c>
      <c r="AL22" s="28"/>
      <c r="AM22" s="246" t="s">
        <v>68</v>
      </c>
      <c r="AN22" s="45"/>
      <c r="AO22" s="44"/>
      <c r="AP22" s="44"/>
      <c r="AQ22" s="39">
        <v>0.03</v>
      </c>
      <c r="AR22" s="234">
        <f>AQ22*AO17</f>
        <v>0</v>
      </c>
      <c r="AS22" s="244" t="s">
        <v>69</v>
      </c>
      <c r="AT22" s="42"/>
      <c r="AU22" s="43"/>
      <c r="AV22" s="43"/>
      <c r="AW22" s="46">
        <v>2E-3</v>
      </c>
      <c r="AX22" s="234">
        <f>AW22*AU17</f>
        <v>0</v>
      </c>
      <c r="AY22" s="28"/>
      <c r="AZ22" s="246" t="s">
        <v>68</v>
      </c>
      <c r="BA22" s="45"/>
      <c r="BB22" s="44"/>
      <c r="BC22" s="44"/>
      <c r="BD22" s="39">
        <v>0.03</v>
      </c>
      <c r="BE22" s="234">
        <f>BD22*BB17</f>
        <v>0</v>
      </c>
      <c r="BF22" s="223" t="s">
        <v>31</v>
      </c>
      <c r="BG22" s="224" t="e">
        <f>+BH22/T15</f>
        <v>#VALUE!</v>
      </c>
      <c r="BH22" s="25">
        <f>SUM(BH20:BH21)</f>
        <v>0</v>
      </c>
      <c r="BI22" s="27" t="s">
        <v>31</v>
      </c>
      <c r="BJ22" s="226">
        <f>SUM(BJ20:BJ21)</f>
        <v>0</v>
      </c>
      <c r="BK22" s="227" t="e">
        <f>+BJ22/T16</f>
        <v>#VALUE!</v>
      </c>
      <c r="BL22" s="223"/>
      <c r="BM22" s="224"/>
      <c r="BN22" s="25"/>
      <c r="BO22" s="27"/>
      <c r="BP22" s="225"/>
      <c r="BQ22" s="227"/>
      <c r="BR22" s="223" t="s">
        <v>31</v>
      </c>
      <c r="BS22" s="224" t="e">
        <f>+BT22/T15</f>
        <v>#VALUE!</v>
      </c>
      <c r="BT22" s="25">
        <f>SUM(BT20:BT21)</f>
        <v>0</v>
      </c>
      <c r="BU22" s="27" t="s">
        <v>31</v>
      </c>
      <c r="BV22" s="225">
        <f>SUM(BV20:BV21)</f>
        <v>0</v>
      </c>
      <c r="BW22" s="227" t="e">
        <f>+BV22/T16</f>
        <v>#VALUE!</v>
      </c>
      <c r="BX22" s="223" t="s">
        <v>31</v>
      </c>
      <c r="BY22" s="224" t="e">
        <f>+BZ22/T15</f>
        <v>#VALUE!</v>
      </c>
      <c r="BZ22" s="25">
        <f>SUM(BZ20:BZ21)</f>
        <v>0</v>
      </c>
      <c r="CA22" s="27" t="s">
        <v>31</v>
      </c>
      <c r="CB22" s="226">
        <f>SUM(CB20:CB21)</f>
        <v>0</v>
      </c>
      <c r="CC22" s="227" t="e">
        <f>+CB22/T16</f>
        <v>#VALUE!</v>
      </c>
    </row>
    <row r="23" spans="1:81" ht="21" customHeight="1">
      <c r="A23" s="222"/>
      <c r="B23" s="242"/>
      <c r="C23" s="51"/>
      <c r="D23" s="51"/>
      <c r="E23" s="51"/>
      <c r="F23" s="51"/>
      <c r="G23" s="238"/>
      <c r="H23" s="228"/>
      <c r="I23" s="29"/>
      <c r="J23" s="29"/>
      <c r="K23" s="236"/>
      <c r="L23" s="229">
        <v>0.16</v>
      </c>
      <c r="M23" s="230">
        <f>+J22*L23</f>
        <v>0</v>
      </c>
      <c r="N23" s="247"/>
      <c r="O23" s="248"/>
      <c r="P23" s="248"/>
      <c r="Q23" s="248"/>
      <c r="R23" s="39"/>
      <c r="S23" s="233">
        <f>R23*P17</f>
        <v>0</v>
      </c>
      <c r="T23" s="244" t="s">
        <v>70</v>
      </c>
      <c r="U23" s="42"/>
      <c r="V23" s="43"/>
      <c r="W23" s="43"/>
      <c r="X23" s="37">
        <v>1E-3</v>
      </c>
      <c r="Y23" s="234">
        <f>X23*V17</f>
        <v>0</v>
      </c>
      <c r="Z23" s="247"/>
      <c r="AA23" s="252"/>
      <c r="AB23" s="248"/>
      <c r="AC23" s="248"/>
      <c r="AD23" s="249"/>
      <c r="AE23" s="250">
        <f>AD23*AB17</f>
        <v>0</v>
      </c>
      <c r="AF23" s="251"/>
      <c r="AG23" s="47"/>
      <c r="AH23" s="48"/>
      <c r="AI23" s="48"/>
      <c r="AJ23" s="49"/>
      <c r="AK23" s="250">
        <f>AJ23*AH17</f>
        <v>0</v>
      </c>
      <c r="AL23" s="28"/>
      <c r="AM23" s="247" t="s">
        <v>72</v>
      </c>
      <c r="AN23" s="252"/>
      <c r="AO23" s="248"/>
      <c r="AP23" s="248"/>
      <c r="AQ23" s="249">
        <v>0.02</v>
      </c>
      <c r="AR23" s="250">
        <f>AQ23*AO17</f>
        <v>0</v>
      </c>
      <c r="AS23" s="251" t="s">
        <v>73</v>
      </c>
      <c r="AT23" s="47"/>
      <c r="AU23" s="48"/>
      <c r="AV23" s="48"/>
      <c r="AW23" s="49">
        <v>3.0000000000000001E-3</v>
      </c>
      <c r="AX23" s="250">
        <f>AW23*AU17</f>
        <v>0</v>
      </c>
      <c r="AY23" s="28"/>
      <c r="AZ23" s="247" t="s">
        <v>72</v>
      </c>
      <c r="BA23" s="252"/>
      <c r="BB23" s="248"/>
      <c r="BC23" s="248"/>
      <c r="BD23" s="249">
        <v>0.02</v>
      </c>
      <c r="BE23" s="250">
        <f>BD23*BB17</f>
        <v>0</v>
      </c>
      <c r="BF23" s="235" t="s">
        <v>74</v>
      </c>
      <c r="BG23" s="32"/>
      <c r="BH23" s="33"/>
      <c r="BI23" s="33"/>
      <c r="BJ23" s="39">
        <v>0.08</v>
      </c>
      <c r="BK23" s="253">
        <f>+BH22*BJ23</f>
        <v>0</v>
      </c>
      <c r="BL23" s="465"/>
      <c r="BM23" s="461"/>
      <c r="BN23" s="461"/>
      <c r="BO23" s="239"/>
      <c r="BP23" s="240"/>
      <c r="BQ23" s="211"/>
      <c r="BR23" s="465"/>
      <c r="BS23" s="461"/>
      <c r="BT23" s="461"/>
      <c r="BU23" s="239"/>
      <c r="BV23" s="240">
        <f>+BT22*BU23</f>
        <v>0</v>
      </c>
      <c r="BW23" s="211"/>
      <c r="BX23" s="465" t="s">
        <v>75</v>
      </c>
      <c r="BY23" s="461"/>
      <c r="BZ23" s="461"/>
      <c r="CA23" s="239"/>
      <c r="CB23" s="239">
        <v>1</v>
      </c>
      <c r="CC23" s="253">
        <f>+BZ22*CB23</f>
        <v>0</v>
      </c>
    </row>
    <row r="24" spans="1:81" ht="21" customHeight="1">
      <c r="A24" s="11">
        <v>1</v>
      </c>
      <c r="B24" s="440" t="s">
        <v>8</v>
      </c>
      <c r="C24" s="432"/>
      <c r="D24" s="440" t="s">
        <v>9</v>
      </c>
      <c r="E24" s="432"/>
      <c r="F24" s="199" t="s">
        <v>10</v>
      </c>
      <c r="G24" s="200"/>
      <c r="H24" s="441" t="s">
        <v>89</v>
      </c>
      <c r="I24" s="431"/>
      <c r="J24" s="431"/>
      <c r="K24" s="431"/>
      <c r="L24" s="431"/>
      <c r="M24" s="432"/>
      <c r="N24" s="442" t="s">
        <v>90</v>
      </c>
      <c r="O24" s="431"/>
      <c r="P24" s="431"/>
      <c r="Q24" s="431"/>
      <c r="R24" s="431"/>
      <c r="S24" s="432"/>
      <c r="T24" s="443" t="s">
        <v>91</v>
      </c>
      <c r="U24" s="431"/>
      <c r="V24" s="431"/>
      <c r="W24" s="431"/>
      <c r="X24" s="431"/>
      <c r="Y24" s="432"/>
      <c r="Z24" s="430" t="s">
        <v>92</v>
      </c>
      <c r="AA24" s="431"/>
      <c r="AB24" s="431"/>
      <c r="AC24" s="431"/>
      <c r="AD24" s="431"/>
      <c r="AE24" s="432"/>
      <c r="AF24" s="430" t="s">
        <v>93</v>
      </c>
      <c r="AG24" s="431"/>
      <c r="AH24" s="431"/>
      <c r="AI24" s="431"/>
      <c r="AJ24" s="431"/>
      <c r="AK24" s="432"/>
      <c r="AL24" s="12"/>
      <c r="AM24" s="436" t="s">
        <v>16</v>
      </c>
      <c r="AN24" s="431"/>
      <c r="AO24" s="431"/>
      <c r="AP24" s="431"/>
      <c r="AQ24" s="431"/>
      <c r="AR24" s="432"/>
      <c r="AS24" s="430" t="s">
        <v>17</v>
      </c>
      <c r="AT24" s="431"/>
      <c r="AU24" s="431"/>
      <c r="AV24" s="431"/>
      <c r="AW24" s="431"/>
      <c r="AX24" s="432"/>
      <c r="AY24" s="12"/>
      <c r="AZ24" s="436" t="s">
        <v>16</v>
      </c>
      <c r="BA24" s="431"/>
      <c r="BB24" s="431"/>
      <c r="BC24" s="431"/>
      <c r="BD24" s="431"/>
      <c r="BE24" s="432"/>
      <c r="BF24" s="437" t="s">
        <v>18</v>
      </c>
      <c r="BG24" s="431"/>
      <c r="BH24" s="431"/>
      <c r="BI24" s="431"/>
      <c r="BJ24" s="431"/>
      <c r="BK24" s="432"/>
      <c r="BL24" s="438" t="s">
        <v>19</v>
      </c>
      <c r="BM24" s="431"/>
      <c r="BN24" s="431"/>
      <c r="BO24" s="431"/>
      <c r="BP24" s="431"/>
      <c r="BQ24" s="432"/>
      <c r="BR24" s="438" t="s">
        <v>20</v>
      </c>
      <c r="BS24" s="431"/>
      <c r="BT24" s="431"/>
      <c r="BU24" s="431"/>
      <c r="BV24" s="431"/>
      <c r="BW24" s="432"/>
      <c r="BX24" s="437" t="s">
        <v>78</v>
      </c>
      <c r="BY24" s="431"/>
      <c r="BZ24" s="431"/>
      <c r="CA24" s="431"/>
      <c r="CB24" s="431"/>
      <c r="CC24" s="432"/>
    </row>
    <row r="25" spans="1:81" ht="21" customHeight="1">
      <c r="A25" s="202" t="s">
        <v>79</v>
      </c>
      <c r="B25" s="203" t="s">
        <v>22</v>
      </c>
      <c r="C25" s="204"/>
      <c r="D25" s="203" t="s">
        <v>22</v>
      </c>
      <c r="E25" s="205"/>
      <c r="F25" s="203" t="s">
        <v>22</v>
      </c>
      <c r="G25" s="13">
        <f t="shared" ref="G25:G26" si="2">+C25+E25</f>
        <v>0</v>
      </c>
      <c r="H25" s="206" t="s">
        <v>23</v>
      </c>
      <c r="I25" s="14">
        <v>0</v>
      </c>
      <c r="J25" s="15">
        <f>+I25*C25</f>
        <v>0</v>
      </c>
      <c r="K25" s="207" t="s">
        <v>24</v>
      </c>
      <c r="L25" s="16">
        <v>0</v>
      </c>
      <c r="M25" s="208" t="e">
        <f>+L25/C26</f>
        <v>#DIV/0!</v>
      </c>
      <c r="N25" s="206" t="s">
        <v>23</v>
      </c>
      <c r="O25" s="14">
        <v>0</v>
      </c>
      <c r="P25" s="17">
        <f>+O25*C25</f>
        <v>0</v>
      </c>
      <c r="Q25" s="207" t="s">
        <v>24</v>
      </c>
      <c r="R25" s="16">
        <v>0</v>
      </c>
      <c r="S25" s="208" t="e">
        <f>+R25/C26</f>
        <v>#DIV/0!</v>
      </c>
      <c r="T25" s="207" t="s">
        <v>23</v>
      </c>
      <c r="U25" s="14">
        <v>0</v>
      </c>
      <c r="V25" s="17">
        <f>+U25*$C25</f>
        <v>0</v>
      </c>
      <c r="W25" s="207" t="s">
        <v>24</v>
      </c>
      <c r="X25" s="16">
        <v>0</v>
      </c>
      <c r="Y25" s="208" t="e">
        <f>+X25/C26</f>
        <v>#DIV/0!</v>
      </c>
      <c r="Z25" s="207" t="s">
        <v>23</v>
      </c>
      <c r="AA25" s="14">
        <v>0</v>
      </c>
      <c r="AB25" s="17">
        <f>+AA25*$C25</f>
        <v>0</v>
      </c>
      <c r="AC25" s="207" t="s">
        <v>24</v>
      </c>
      <c r="AD25" s="18"/>
      <c r="AE25" s="208" t="e">
        <f>+AD25/C26</f>
        <v>#DIV/0!</v>
      </c>
      <c r="AF25" s="206" t="s">
        <v>23</v>
      </c>
      <c r="AG25" s="14">
        <v>0</v>
      </c>
      <c r="AH25" s="17">
        <f>+AG25*C25</f>
        <v>0</v>
      </c>
      <c r="AI25" s="207" t="s">
        <v>24</v>
      </c>
      <c r="AJ25" s="18">
        <v>0</v>
      </c>
      <c r="AK25" s="208" t="e">
        <f>AJ25/C26</f>
        <v>#DIV/0!</v>
      </c>
      <c r="AL25" s="3"/>
      <c r="AM25" s="206" t="s">
        <v>23</v>
      </c>
      <c r="AN25" s="14"/>
      <c r="AO25" s="17">
        <f>+AN25*C25</f>
        <v>0</v>
      </c>
      <c r="AP25" s="207" t="s">
        <v>24</v>
      </c>
      <c r="AQ25" s="18"/>
      <c r="AR25" s="208" t="e">
        <f>+AQ25/C26</f>
        <v>#DIV/0!</v>
      </c>
      <c r="AS25" s="207" t="s">
        <v>23</v>
      </c>
      <c r="AT25" s="14">
        <v>0</v>
      </c>
      <c r="AU25" s="17">
        <f>+AT25*$C25</f>
        <v>0</v>
      </c>
      <c r="AV25" s="207" t="s">
        <v>24</v>
      </c>
      <c r="AW25" s="16">
        <v>0</v>
      </c>
      <c r="AX25" s="208" t="e">
        <f>+AW25/AB26</f>
        <v>#DIV/0!</v>
      </c>
      <c r="AY25" s="3"/>
      <c r="AZ25" s="206" t="s">
        <v>23</v>
      </c>
      <c r="BA25" s="14"/>
      <c r="BB25" s="17">
        <f>+BA25*P25</f>
        <v>0</v>
      </c>
      <c r="BC25" s="207" t="s">
        <v>24</v>
      </c>
      <c r="BD25" s="18"/>
      <c r="BE25" s="208" t="e">
        <f>+BD25/P26</f>
        <v>#DIV/0!</v>
      </c>
      <c r="BF25" s="207" t="s">
        <v>23</v>
      </c>
      <c r="BG25" s="14">
        <v>0</v>
      </c>
      <c r="BH25" s="17">
        <f>+BG25*$C25</f>
        <v>0</v>
      </c>
      <c r="BI25" s="207" t="s">
        <v>24</v>
      </c>
      <c r="BJ25" s="16">
        <v>0</v>
      </c>
      <c r="BK25" s="208" t="e">
        <f>+BJ25/AO26</f>
        <v>#DIV/0!</v>
      </c>
      <c r="BL25" s="206" t="s">
        <v>23</v>
      </c>
      <c r="BM25" s="14"/>
      <c r="BN25" s="15">
        <f>+BM25*P25</f>
        <v>0</v>
      </c>
      <c r="BO25" s="207" t="s">
        <v>24</v>
      </c>
      <c r="BP25" s="18">
        <v>0</v>
      </c>
      <c r="BQ25" s="208" t="e">
        <f>+BP25/P26</f>
        <v>#DIV/0!</v>
      </c>
      <c r="BR25" s="206" t="s">
        <v>23</v>
      </c>
      <c r="BS25" s="14"/>
      <c r="BT25" s="15">
        <f>+BS25*P25</f>
        <v>0</v>
      </c>
      <c r="BU25" s="207" t="s">
        <v>24</v>
      </c>
      <c r="BV25" s="18">
        <v>0</v>
      </c>
      <c r="BW25" s="208" t="e">
        <f>+BV25/P26</f>
        <v>#DIV/0!</v>
      </c>
      <c r="BX25" s="207" t="s">
        <v>23</v>
      </c>
      <c r="BY25" s="14">
        <v>0</v>
      </c>
      <c r="BZ25" s="17">
        <f>+BY25*$C25</f>
        <v>0</v>
      </c>
      <c r="CA25" s="207" t="s">
        <v>24</v>
      </c>
      <c r="CB25" s="16">
        <v>0</v>
      </c>
      <c r="CC25" s="208" t="e">
        <f>+CB25/BG26</f>
        <v>#DIV/0!</v>
      </c>
    </row>
    <row r="26" spans="1:81" ht="21" customHeight="1">
      <c r="A26" s="209" t="s">
        <v>94</v>
      </c>
      <c r="B26" s="210" t="s">
        <v>26</v>
      </c>
      <c r="C26" s="19"/>
      <c r="D26" s="210" t="s">
        <v>26</v>
      </c>
      <c r="E26" s="20"/>
      <c r="F26" s="210" t="s">
        <v>26</v>
      </c>
      <c r="G26" s="211">
        <f t="shared" si="2"/>
        <v>0</v>
      </c>
      <c r="H26" s="21" t="s">
        <v>27</v>
      </c>
      <c r="I26" s="212">
        <v>0</v>
      </c>
      <c r="J26" s="213">
        <f>+E25*I26</f>
        <v>0</v>
      </c>
      <c r="K26" s="22" t="s">
        <v>28</v>
      </c>
      <c r="L26" s="214">
        <v>0</v>
      </c>
      <c r="M26" s="215" t="e">
        <f>+L26/E26</f>
        <v>#DIV/0!</v>
      </c>
      <c r="N26" s="21" t="s">
        <v>27</v>
      </c>
      <c r="O26" s="216">
        <v>0</v>
      </c>
      <c r="P26" s="217">
        <f>+O26*E25</f>
        <v>0</v>
      </c>
      <c r="Q26" s="22" t="s">
        <v>28</v>
      </c>
      <c r="R26" s="214">
        <v>0</v>
      </c>
      <c r="S26" s="215" t="e">
        <f>+R26/E26</f>
        <v>#DIV/0!</v>
      </c>
      <c r="T26" s="22" t="s">
        <v>27</v>
      </c>
      <c r="U26" s="216">
        <v>0</v>
      </c>
      <c r="V26" s="217">
        <f>+U26*$E25</f>
        <v>0</v>
      </c>
      <c r="W26" s="22" t="s">
        <v>28</v>
      </c>
      <c r="X26" s="214">
        <v>0</v>
      </c>
      <c r="Y26" s="215" t="e">
        <f>+X26/E26</f>
        <v>#DIV/0!</v>
      </c>
      <c r="Z26" s="22" t="s">
        <v>27</v>
      </c>
      <c r="AA26" s="218"/>
      <c r="AB26" s="23">
        <f>+E25*AA26</f>
        <v>0</v>
      </c>
      <c r="AC26" s="219" t="s">
        <v>28</v>
      </c>
      <c r="AD26" s="220"/>
      <c r="AE26" s="24" t="e">
        <f>+AD26/E26</f>
        <v>#DIV/0!</v>
      </c>
      <c r="AF26" s="21" t="s">
        <v>27</v>
      </c>
      <c r="AG26" s="216">
        <v>0</v>
      </c>
      <c r="AH26" s="217">
        <f>+AG26*E25</f>
        <v>0</v>
      </c>
      <c r="AI26" s="22" t="s">
        <v>28</v>
      </c>
      <c r="AJ26" s="221">
        <v>0</v>
      </c>
      <c r="AK26" s="215" t="e">
        <f>+AJ26/E26</f>
        <v>#DIV/0!</v>
      </c>
      <c r="AL26" s="3"/>
      <c r="AM26" s="21" t="s">
        <v>27</v>
      </c>
      <c r="AN26" s="216"/>
      <c r="AO26" s="217">
        <f>+AN26*E25</f>
        <v>0</v>
      </c>
      <c r="AP26" s="22" t="s">
        <v>28</v>
      </c>
      <c r="AQ26" s="221"/>
      <c r="AR26" s="215" t="e">
        <f>+AQ26/E26</f>
        <v>#DIV/0!</v>
      </c>
      <c r="AS26" s="22" t="s">
        <v>27</v>
      </c>
      <c r="AT26" s="216">
        <v>0</v>
      </c>
      <c r="AU26" s="217">
        <f>+AT26*$E25</f>
        <v>0</v>
      </c>
      <c r="AV26" s="22" t="s">
        <v>28</v>
      </c>
      <c r="AW26" s="214">
        <v>0</v>
      </c>
      <c r="AX26" s="215" t="e">
        <f>+AW26/AD26</f>
        <v>#DIV/0!</v>
      </c>
      <c r="AY26" s="3"/>
      <c r="AZ26" s="21" t="s">
        <v>27</v>
      </c>
      <c r="BA26" s="216"/>
      <c r="BB26" s="217">
        <f>+BA26*R25</f>
        <v>0</v>
      </c>
      <c r="BC26" s="22" t="s">
        <v>28</v>
      </c>
      <c r="BD26" s="221"/>
      <c r="BE26" s="215" t="e">
        <f>+BD26/R26</f>
        <v>#DIV/0!</v>
      </c>
      <c r="BF26" s="22" t="s">
        <v>27</v>
      </c>
      <c r="BG26" s="216">
        <v>0</v>
      </c>
      <c r="BH26" s="217">
        <f>+BG26*$E25</f>
        <v>0</v>
      </c>
      <c r="BI26" s="22" t="s">
        <v>28</v>
      </c>
      <c r="BJ26" s="214">
        <v>0</v>
      </c>
      <c r="BK26" s="215" t="e">
        <f>+BJ26/AQ26</f>
        <v>#DIV/0!</v>
      </c>
      <c r="BL26" s="21" t="s">
        <v>27</v>
      </c>
      <c r="BM26" s="212">
        <v>0</v>
      </c>
      <c r="BN26" s="213">
        <f>+BM26*R25</f>
        <v>0</v>
      </c>
      <c r="BO26" s="22" t="s">
        <v>28</v>
      </c>
      <c r="BP26" s="221">
        <v>0</v>
      </c>
      <c r="BQ26" s="215" t="e">
        <f>+BP26/R26</f>
        <v>#DIV/0!</v>
      </c>
      <c r="BR26" s="21" t="s">
        <v>27</v>
      </c>
      <c r="BS26" s="212"/>
      <c r="BT26" s="213">
        <f>+BS26*R25</f>
        <v>0</v>
      </c>
      <c r="BU26" s="22" t="s">
        <v>28</v>
      </c>
      <c r="BV26" s="221">
        <v>0</v>
      </c>
      <c r="BW26" s="215" t="e">
        <f>+BV26/R26</f>
        <v>#DIV/0!</v>
      </c>
      <c r="BX26" s="22" t="s">
        <v>27</v>
      </c>
      <c r="BY26" s="216">
        <v>0</v>
      </c>
      <c r="BZ26" s="217">
        <f>+BY26*$E25</f>
        <v>0</v>
      </c>
      <c r="CA26" s="22" t="s">
        <v>28</v>
      </c>
      <c r="CB26" s="214">
        <v>0</v>
      </c>
      <c r="CC26" s="215" t="e">
        <f>+CB26/BI26</f>
        <v>#VALUE!</v>
      </c>
    </row>
    <row r="27" spans="1:81" ht="21" customHeight="1">
      <c r="A27" s="222" t="s">
        <v>81</v>
      </c>
      <c r="B27" s="453" t="s">
        <v>30</v>
      </c>
      <c r="C27" s="454"/>
      <c r="D27" s="455"/>
      <c r="E27" s="456" t="e">
        <f>+(J25+J30+P25+V25+AB25+AH25+AO25++AU25+AU30+BA25+BA30+BG25+BG30+BM25+BM30)/C25</f>
        <v>#DIV/0!</v>
      </c>
      <c r="F27" s="457"/>
      <c r="G27" s="458" t="e">
        <f>+(J27+J32+P27+V27+AB27+AH27+AO27+AU27+AU32+BA27+BA32+BG27+BG32+BM27+BM32)/(G25)</f>
        <v>#VALUE!</v>
      </c>
      <c r="H27" s="223" t="s">
        <v>31</v>
      </c>
      <c r="I27" s="224" t="e">
        <f>+J27/G25</f>
        <v>#DIV/0!</v>
      </c>
      <c r="J27" s="25">
        <f>SUM(J25:J26)</f>
        <v>0</v>
      </c>
      <c r="K27" s="225" t="s">
        <v>32</v>
      </c>
      <c r="L27" s="226">
        <f>SUM(L25:L26)</f>
        <v>0</v>
      </c>
      <c r="M27" s="227" t="e">
        <f>+L27/G26</f>
        <v>#DIV/0!</v>
      </c>
      <c r="N27" s="223" t="s">
        <v>31</v>
      </c>
      <c r="O27" s="224" t="e">
        <f>+P27/G25</f>
        <v>#DIV/0!</v>
      </c>
      <c r="P27" s="26">
        <f>+P25+P26</f>
        <v>0</v>
      </c>
      <c r="Q27" s="27" t="s">
        <v>31</v>
      </c>
      <c r="R27" s="226">
        <f>SUM(R25:R26)</f>
        <v>0</v>
      </c>
      <c r="S27" s="227" t="e">
        <f>+R27/G26</f>
        <v>#DIV/0!</v>
      </c>
      <c r="T27" s="225" t="s">
        <v>31</v>
      </c>
      <c r="U27" s="224" t="e">
        <f>+V27/$G25</f>
        <v>#DIV/0!</v>
      </c>
      <c r="V27" s="26">
        <f>SUM(V25:V26)</f>
        <v>0</v>
      </c>
      <c r="W27" s="27" t="s">
        <v>31</v>
      </c>
      <c r="X27" s="226">
        <f>SUM(X25:X26)</f>
        <v>0</v>
      </c>
      <c r="Y27" s="227" t="e">
        <f>+X27/G26</f>
        <v>#DIV/0!</v>
      </c>
      <c r="Z27" s="225" t="s">
        <v>31</v>
      </c>
      <c r="AA27" s="224" t="e">
        <f>+AB27/$G25</f>
        <v>#DIV/0!</v>
      </c>
      <c r="AB27" s="26">
        <f>+AB25+AB26</f>
        <v>0</v>
      </c>
      <c r="AC27" s="27" t="s">
        <v>31</v>
      </c>
      <c r="AD27" s="225">
        <f>SUM(AD25:AD26)</f>
        <v>0</v>
      </c>
      <c r="AE27" s="227" t="e">
        <f>+AD27/G26</f>
        <v>#DIV/0!</v>
      </c>
      <c r="AF27" s="223" t="s">
        <v>31</v>
      </c>
      <c r="AG27" s="224" t="e">
        <f>+AH27/G25</f>
        <v>#DIV/0!</v>
      </c>
      <c r="AH27" s="26">
        <f>+AH25+AH26</f>
        <v>0</v>
      </c>
      <c r="AI27" s="27" t="s">
        <v>31</v>
      </c>
      <c r="AJ27" s="225">
        <f>SUM(AJ25:AJ26)</f>
        <v>0</v>
      </c>
      <c r="AK27" s="227" t="e">
        <f>+AJ27/G26</f>
        <v>#DIV/0!</v>
      </c>
      <c r="AL27" s="28"/>
      <c r="AM27" s="223" t="s">
        <v>31</v>
      </c>
      <c r="AN27" s="224" t="e">
        <f>+AO27/G25</f>
        <v>#DIV/0!</v>
      </c>
      <c r="AO27" s="26">
        <f>+AO25+AO26</f>
        <v>0</v>
      </c>
      <c r="AP27" s="27" t="s">
        <v>31</v>
      </c>
      <c r="AQ27" s="225">
        <f>SUM(AQ25:AQ26)</f>
        <v>0</v>
      </c>
      <c r="AR27" s="227" t="e">
        <f>+AQ27/G26</f>
        <v>#DIV/0!</v>
      </c>
      <c r="AS27" s="223" t="s">
        <v>31</v>
      </c>
      <c r="AT27" s="224" t="e">
        <f>+AU27/T25</f>
        <v>#VALUE!</v>
      </c>
      <c r="AU27" s="26">
        <f>+AU25+AU26</f>
        <v>0</v>
      </c>
      <c r="AV27" s="27" t="s">
        <v>31</v>
      </c>
      <c r="AW27" s="226">
        <f>SUM(AW25:AW26)</f>
        <v>0</v>
      </c>
      <c r="AX27" s="227" t="e">
        <f>+AW27/T26</f>
        <v>#VALUE!</v>
      </c>
      <c r="AY27" s="28"/>
      <c r="AZ27" s="223" t="s">
        <v>31</v>
      </c>
      <c r="BA27" s="224" t="e">
        <f>+BB27/T25</f>
        <v>#VALUE!</v>
      </c>
      <c r="BB27" s="26">
        <f>+BB25+BB26</f>
        <v>0</v>
      </c>
      <c r="BC27" s="27" t="s">
        <v>31</v>
      </c>
      <c r="BD27" s="225">
        <f>SUM(BD25:BD26)</f>
        <v>0</v>
      </c>
      <c r="BE27" s="227" t="e">
        <f>+BD27/T26</f>
        <v>#VALUE!</v>
      </c>
      <c r="BF27" s="223" t="s">
        <v>31</v>
      </c>
      <c r="BG27" s="224" t="e">
        <f>+BH27/T25</f>
        <v>#VALUE!</v>
      </c>
      <c r="BH27" s="25">
        <f>SUM(BH25:BH26)</f>
        <v>0</v>
      </c>
      <c r="BI27" s="27" t="s">
        <v>31</v>
      </c>
      <c r="BJ27" s="226">
        <f>SUM(BJ25:BJ26)</f>
        <v>0</v>
      </c>
      <c r="BK27" s="227" t="e">
        <f>+BJ27/T26</f>
        <v>#VALUE!</v>
      </c>
      <c r="BL27" s="223" t="s">
        <v>31</v>
      </c>
      <c r="BM27" s="224" t="e">
        <f>+BN27/T25</f>
        <v>#VALUE!</v>
      </c>
      <c r="BN27" s="25">
        <f>SUM(BN25:BN26)</f>
        <v>0</v>
      </c>
      <c r="BO27" s="27" t="s">
        <v>31</v>
      </c>
      <c r="BP27" s="225">
        <f>SUM(BP25:BP26)</f>
        <v>0</v>
      </c>
      <c r="BQ27" s="227" t="e">
        <f>+BP27/T26</f>
        <v>#VALUE!</v>
      </c>
      <c r="BR27" s="223" t="s">
        <v>31</v>
      </c>
      <c r="BS27" s="224" t="e">
        <f>+BT27/T25</f>
        <v>#VALUE!</v>
      </c>
      <c r="BT27" s="25">
        <f>SUM(BT25:BT26)</f>
        <v>0</v>
      </c>
      <c r="BU27" s="27" t="s">
        <v>31</v>
      </c>
      <c r="BV27" s="225">
        <f>SUM(BV25:BV26)</f>
        <v>0</v>
      </c>
      <c r="BW27" s="227" t="e">
        <f>+BV27/T26</f>
        <v>#VALUE!</v>
      </c>
      <c r="BX27" s="223" t="s">
        <v>31</v>
      </c>
      <c r="BY27" s="224" t="e">
        <f>+BZ27/T25</f>
        <v>#VALUE!</v>
      </c>
      <c r="BZ27" s="25">
        <f>SUM(BZ25:BZ26)</f>
        <v>0</v>
      </c>
      <c r="CA27" s="27" t="s">
        <v>31</v>
      </c>
      <c r="CB27" s="226">
        <f>SUM(CB25:CB26)</f>
        <v>0</v>
      </c>
      <c r="CC27" s="227" t="e">
        <f>+CB27/T26</f>
        <v>#VALUE!</v>
      </c>
    </row>
    <row r="28" spans="1:81" ht="21" customHeight="1">
      <c r="A28" s="222" t="s">
        <v>95</v>
      </c>
      <c r="B28" s="460" t="s">
        <v>34</v>
      </c>
      <c r="C28" s="461"/>
      <c r="D28" s="462"/>
      <c r="E28" s="463" t="e">
        <f>+(J26+J31+P26+V26+AB26+AH26+AO26+AU26+AU31+BA26+BA31+BG26+BG31+BM26+BM31)/E25</f>
        <v>#DIV/0!</v>
      </c>
      <c r="F28" s="464"/>
      <c r="G28" s="459"/>
      <c r="H28" s="228" t="s">
        <v>35</v>
      </c>
      <c r="I28" s="29"/>
      <c r="J28" s="29"/>
      <c r="K28" s="3"/>
      <c r="L28" s="229">
        <v>0.18</v>
      </c>
      <c r="M28" s="230">
        <f>+L28*J27</f>
        <v>0</v>
      </c>
      <c r="N28" s="235" t="s">
        <v>96</v>
      </c>
      <c r="O28" s="32"/>
      <c r="P28" s="33"/>
      <c r="Q28" s="33"/>
      <c r="R28" s="39">
        <v>0.14000000000000001</v>
      </c>
      <c r="S28" s="233">
        <f>R28*P27</f>
        <v>0</v>
      </c>
      <c r="T28" s="231" t="s">
        <v>37</v>
      </c>
      <c r="U28" s="232"/>
      <c r="V28" s="232"/>
      <c r="W28" s="31"/>
      <c r="X28" s="31">
        <v>0.15</v>
      </c>
      <c r="Y28" s="234">
        <f>X28*V27</f>
        <v>0</v>
      </c>
      <c r="Z28" s="244" t="s">
        <v>97</v>
      </c>
      <c r="AA28" s="232"/>
      <c r="AB28" s="232"/>
      <c r="AC28" s="31"/>
      <c r="AD28" s="31">
        <v>0.13</v>
      </c>
      <c r="AE28" s="234">
        <f>AD28*AB27</f>
        <v>0</v>
      </c>
      <c r="AF28" s="231" t="s">
        <v>39</v>
      </c>
      <c r="AG28" s="35"/>
      <c r="AH28" s="36"/>
      <c r="AI28" s="36"/>
      <c r="AJ28" s="37">
        <v>7.4999999999999997E-2</v>
      </c>
      <c r="AK28" s="234">
        <f>AJ28*AH27</f>
        <v>0</v>
      </c>
      <c r="AL28" s="38"/>
      <c r="AM28" s="235" t="s">
        <v>40</v>
      </c>
      <c r="AN28" s="32"/>
      <c r="AO28" s="33"/>
      <c r="AP28" s="33"/>
      <c r="AQ28" s="39">
        <v>1</v>
      </c>
      <c r="AR28" s="234">
        <f>AQ28*AO27</f>
        <v>0</v>
      </c>
      <c r="AS28" s="231" t="s">
        <v>41</v>
      </c>
      <c r="AT28" s="35"/>
      <c r="AU28" s="36"/>
      <c r="AV28" s="36"/>
      <c r="AW28" s="37">
        <v>0.83</v>
      </c>
      <c r="AX28" s="234">
        <f>AW28*AU27</f>
        <v>0</v>
      </c>
      <c r="AY28" s="38"/>
      <c r="AZ28" s="235" t="s">
        <v>40</v>
      </c>
      <c r="BA28" s="32"/>
      <c r="BB28" s="33"/>
      <c r="BC28" s="33"/>
      <c r="BD28" s="39">
        <v>1</v>
      </c>
      <c r="BE28" s="234">
        <f>BD28*BB27</f>
        <v>0</v>
      </c>
      <c r="BF28" s="465" t="s">
        <v>42</v>
      </c>
      <c r="BG28" s="461"/>
      <c r="BH28" s="461"/>
      <c r="BI28" s="236"/>
      <c r="BJ28" s="237">
        <v>0.1</v>
      </c>
      <c r="BK28" s="230">
        <f>+BJ28*BH27</f>
        <v>0</v>
      </c>
      <c r="BL28" s="465"/>
      <c r="BM28" s="461"/>
      <c r="BN28" s="461"/>
      <c r="BO28" s="40"/>
      <c r="BP28" s="41">
        <f>+BN27*BO28</f>
        <v>0</v>
      </c>
      <c r="BQ28" s="238"/>
      <c r="BR28" s="465" t="s">
        <v>43</v>
      </c>
      <c r="BS28" s="461"/>
      <c r="BT28" s="461"/>
      <c r="BU28" s="239">
        <v>0.1</v>
      </c>
      <c r="BV28" s="240">
        <f>+BT27*BU28</f>
        <v>0</v>
      </c>
      <c r="BW28" s="211"/>
      <c r="BX28" s="465" t="s">
        <v>44</v>
      </c>
      <c r="BY28" s="461"/>
      <c r="BZ28" s="461"/>
      <c r="CA28" s="3"/>
      <c r="CB28" s="40">
        <v>0.09</v>
      </c>
      <c r="CC28" s="241">
        <f>+BZ27*CB28</f>
        <v>0</v>
      </c>
    </row>
    <row r="29" spans="1:81" ht="21" customHeight="1">
      <c r="A29" s="222" t="s">
        <v>81</v>
      </c>
      <c r="B29" s="453" t="s">
        <v>46</v>
      </c>
      <c r="C29" s="454"/>
      <c r="D29" s="455"/>
      <c r="E29" s="466" t="e">
        <f>+(L27+L32+R27+X27+AD27+AJ27+AQ27+AW27+AW32+BC27+BC32+BI27+BI32+BO27+BO32)/G26</f>
        <v>#VALUE!</v>
      </c>
      <c r="F29" s="467"/>
      <c r="G29" s="468"/>
      <c r="H29" s="441" t="s">
        <v>47</v>
      </c>
      <c r="I29" s="431"/>
      <c r="J29" s="431"/>
      <c r="K29" s="431"/>
      <c r="L29" s="431"/>
      <c r="M29" s="432"/>
      <c r="N29" s="243" t="s">
        <v>98</v>
      </c>
      <c r="O29" s="33"/>
      <c r="P29" s="33"/>
      <c r="Q29" s="33"/>
      <c r="R29" s="39">
        <v>0.02</v>
      </c>
      <c r="S29" s="233">
        <f>R29*P27</f>
        <v>0</v>
      </c>
      <c r="T29" s="231" t="s">
        <v>99</v>
      </c>
      <c r="U29" s="35"/>
      <c r="V29" s="36"/>
      <c r="W29" s="36"/>
      <c r="X29" s="37">
        <v>0.05</v>
      </c>
      <c r="Y29" s="234">
        <f>X29*V27</f>
        <v>0</v>
      </c>
      <c r="Z29" s="244" t="s">
        <v>100</v>
      </c>
      <c r="AA29" s="36"/>
      <c r="AB29" s="36"/>
      <c r="AC29" s="36"/>
      <c r="AD29" s="31">
        <v>0.05</v>
      </c>
      <c r="AE29" s="234">
        <f>AD29*AB27</f>
        <v>0</v>
      </c>
      <c r="AF29" s="231" t="s">
        <v>101</v>
      </c>
      <c r="AG29" s="35"/>
      <c r="AH29" s="36"/>
      <c r="AI29" s="36"/>
      <c r="AJ29" s="37">
        <v>5.0000000000000001E-3</v>
      </c>
      <c r="AK29" s="234">
        <f>AJ29*AH27</f>
        <v>0</v>
      </c>
      <c r="AL29" s="28"/>
      <c r="AM29" s="235" t="s">
        <v>52</v>
      </c>
      <c r="AN29" s="32"/>
      <c r="AO29" s="33"/>
      <c r="AP29" s="33"/>
      <c r="AQ29" s="39">
        <v>0.125</v>
      </c>
      <c r="AR29" s="234">
        <f>AQ29*AO27</f>
        <v>0</v>
      </c>
      <c r="AS29" s="231" t="s">
        <v>53</v>
      </c>
      <c r="AT29" s="35"/>
      <c r="AU29" s="36"/>
      <c r="AV29" s="36"/>
      <c r="AW29" s="37">
        <v>0.13</v>
      </c>
      <c r="AX29" s="234">
        <f>AW29*AU27</f>
        <v>0</v>
      </c>
      <c r="AY29" s="28"/>
      <c r="AZ29" s="235" t="s">
        <v>52</v>
      </c>
      <c r="BA29" s="32"/>
      <c r="BB29" s="33"/>
      <c r="BC29" s="33"/>
      <c r="BD29" s="39">
        <v>0.125</v>
      </c>
      <c r="BE29" s="234">
        <f>BD29*BB27</f>
        <v>0</v>
      </c>
      <c r="BF29" s="437" t="s">
        <v>54</v>
      </c>
      <c r="BG29" s="431"/>
      <c r="BH29" s="431"/>
      <c r="BI29" s="431"/>
      <c r="BJ29" s="431"/>
      <c r="BK29" s="432"/>
      <c r="BL29" s="438"/>
      <c r="BM29" s="431"/>
      <c r="BN29" s="431"/>
      <c r="BO29" s="431"/>
      <c r="BP29" s="431"/>
      <c r="BQ29" s="432"/>
      <c r="BR29" s="438"/>
      <c r="BS29" s="431"/>
      <c r="BT29" s="431"/>
      <c r="BU29" s="431"/>
      <c r="BV29" s="431"/>
      <c r="BW29" s="432"/>
      <c r="BX29" s="437" t="s">
        <v>55</v>
      </c>
      <c r="BY29" s="431"/>
      <c r="BZ29" s="431"/>
      <c r="CA29" s="431"/>
      <c r="CB29" s="431"/>
      <c r="CC29" s="432"/>
    </row>
    <row r="30" spans="1:81" ht="21" customHeight="1">
      <c r="A30" s="222" t="s">
        <v>94</v>
      </c>
      <c r="B30" s="469"/>
      <c r="C30" s="454"/>
      <c r="D30" s="454"/>
      <c r="E30" s="454"/>
      <c r="F30" s="454"/>
      <c r="G30" s="457"/>
      <c r="H30" s="206" t="s">
        <v>23</v>
      </c>
      <c r="I30" s="14">
        <v>0</v>
      </c>
      <c r="J30" s="15">
        <f>+I30*C25</f>
        <v>0</v>
      </c>
      <c r="K30" s="207" t="s">
        <v>24</v>
      </c>
      <c r="L30" s="16">
        <v>0</v>
      </c>
      <c r="M30" s="208" t="e">
        <f>+L30/C26</f>
        <v>#DIV/0!</v>
      </c>
      <c r="N30" s="243" t="s">
        <v>57</v>
      </c>
      <c r="O30" s="44"/>
      <c r="P30" s="44"/>
      <c r="Q30" s="44"/>
      <c r="R30" s="39">
        <v>2.3E-2</v>
      </c>
      <c r="S30" s="233">
        <f>R30*P27</f>
        <v>0</v>
      </c>
      <c r="T30" s="244" t="s">
        <v>102</v>
      </c>
      <c r="U30" s="42"/>
      <c r="V30" s="43"/>
      <c r="W30" s="43"/>
      <c r="X30" s="37">
        <v>1.4999999999999999E-2</v>
      </c>
      <c r="Y30" s="234">
        <f>X30*V27</f>
        <v>0</v>
      </c>
      <c r="Z30" s="244" t="s">
        <v>103</v>
      </c>
      <c r="AA30" s="43"/>
      <c r="AB30" s="43"/>
      <c r="AC30" s="43"/>
      <c r="AD30" s="31">
        <v>0.05</v>
      </c>
      <c r="AE30" s="234">
        <f>AD30*AB27</f>
        <v>0</v>
      </c>
      <c r="AF30" s="245"/>
      <c r="AG30" s="42"/>
      <c r="AH30" s="43"/>
      <c r="AI30" s="43"/>
      <c r="AJ30" s="39"/>
      <c r="AK30" s="234">
        <f>AJ30*AH27</f>
        <v>0</v>
      </c>
      <c r="AL30" s="28"/>
      <c r="AM30" s="246" t="s">
        <v>60</v>
      </c>
      <c r="AN30" s="45"/>
      <c r="AO30" s="44"/>
      <c r="AP30" s="44"/>
      <c r="AQ30" s="39">
        <v>0.03</v>
      </c>
      <c r="AR30" s="234">
        <f>AQ30*AO27</f>
        <v>0</v>
      </c>
      <c r="AS30" s="245" t="s">
        <v>61</v>
      </c>
      <c r="AT30" s="42"/>
      <c r="AU30" s="43"/>
      <c r="AV30" s="43"/>
      <c r="AW30" s="39">
        <v>0.7</v>
      </c>
      <c r="AX30" s="234">
        <f>AW30*AU27</f>
        <v>0</v>
      </c>
      <c r="AY30" s="28"/>
      <c r="AZ30" s="246" t="s">
        <v>60</v>
      </c>
      <c r="BA30" s="45"/>
      <c r="BB30" s="44"/>
      <c r="BC30" s="44"/>
      <c r="BD30" s="39">
        <v>0.03</v>
      </c>
      <c r="BE30" s="234">
        <f>BD30*BB27</f>
        <v>0</v>
      </c>
      <c r="BF30" s="207" t="s">
        <v>23</v>
      </c>
      <c r="BG30" s="14">
        <v>0</v>
      </c>
      <c r="BH30" s="17">
        <f>+BG30*$C30</f>
        <v>0</v>
      </c>
      <c r="BI30" s="207" t="s">
        <v>24</v>
      </c>
      <c r="BJ30" s="16">
        <v>0</v>
      </c>
      <c r="BK30" s="208" t="e">
        <f>+BJ30/AO31</f>
        <v>#DIV/0!</v>
      </c>
      <c r="BL30" s="206"/>
      <c r="BM30" s="14"/>
      <c r="BN30" s="15"/>
      <c r="BO30" s="207"/>
      <c r="BP30" s="18"/>
      <c r="BQ30" s="208"/>
      <c r="BR30" s="206" t="s">
        <v>62</v>
      </c>
      <c r="BS30" s="14"/>
      <c r="BT30" s="15">
        <f>+BS30*P25</f>
        <v>0</v>
      </c>
      <c r="BU30" s="207" t="s">
        <v>24</v>
      </c>
      <c r="BV30" s="18">
        <v>0</v>
      </c>
      <c r="BW30" s="208" t="e">
        <f>+BV30/P26</f>
        <v>#DIV/0!</v>
      </c>
      <c r="BX30" s="207" t="s">
        <v>23</v>
      </c>
      <c r="BY30" s="14">
        <v>0</v>
      </c>
      <c r="BZ30" s="17">
        <f>+BY30*$C30</f>
        <v>0</v>
      </c>
      <c r="CA30" s="207" t="s">
        <v>24</v>
      </c>
      <c r="CB30" s="16">
        <v>0</v>
      </c>
      <c r="CC30" s="208" t="e">
        <f>+CB30/BG31</f>
        <v>#DIV/0!</v>
      </c>
    </row>
    <row r="31" spans="1:81" ht="21" customHeight="1">
      <c r="A31" s="222" t="s">
        <v>45</v>
      </c>
      <c r="B31" s="242"/>
      <c r="C31" s="51"/>
      <c r="D31" s="51"/>
      <c r="E31" s="51"/>
      <c r="F31" s="51"/>
      <c r="G31" s="238"/>
      <c r="H31" s="21" t="s">
        <v>27</v>
      </c>
      <c r="I31" s="212">
        <v>0</v>
      </c>
      <c r="J31" s="213">
        <f>+I31*E25</f>
        <v>0</v>
      </c>
      <c r="K31" s="22" t="s">
        <v>28</v>
      </c>
      <c r="L31" s="214">
        <v>0</v>
      </c>
      <c r="M31" s="215" t="e">
        <f>+L31/E26</f>
        <v>#DIV/0!</v>
      </c>
      <c r="N31" s="243" t="s">
        <v>104</v>
      </c>
      <c r="O31" s="44"/>
      <c r="P31" s="44"/>
      <c r="Q31" s="44"/>
      <c r="R31" s="39">
        <v>0.01</v>
      </c>
      <c r="S31" s="233">
        <f>R31*P27</f>
        <v>0</v>
      </c>
      <c r="T31" s="244" t="s">
        <v>105</v>
      </c>
      <c r="U31" s="42"/>
      <c r="V31" s="43"/>
      <c r="W31" s="43"/>
      <c r="X31" s="37">
        <v>1.4999999999999999E-2</v>
      </c>
      <c r="Y31" s="234">
        <f>X31*V27</f>
        <v>0</v>
      </c>
      <c r="Z31" s="244" t="s">
        <v>106</v>
      </c>
      <c r="AA31" s="43"/>
      <c r="AB31" s="43"/>
      <c r="AC31" s="43"/>
      <c r="AD31" s="31">
        <v>0.25</v>
      </c>
      <c r="AE31" s="234">
        <f>AD31*AB27</f>
        <v>0</v>
      </c>
      <c r="AF31" s="245"/>
      <c r="AG31" s="42"/>
      <c r="AH31" s="43"/>
      <c r="AI31" s="43"/>
      <c r="AJ31" s="37"/>
      <c r="AK31" s="234">
        <f>AJ31*AH27</f>
        <v>0</v>
      </c>
      <c r="AL31" s="28"/>
      <c r="AM31" s="246" t="s">
        <v>64</v>
      </c>
      <c r="AN31" s="45"/>
      <c r="AO31" s="44"/>
      <c r="AP31" s="44"/>
      <c r="AQ31" s="39">
        <v>3.0000000000000001E-3</v>
      </c>
      <c r="AR31" s="234">
        <f>AQ31*AO27</f>
        <v>0</v>
      </c>
      <c r="AS31" s="245" t="s">
        <v>65</v>
      </c>
      <c r="AT31" s="42"/>
      <c r="AU31" s="43"/>
      <c r="AV31" s="43"/>
      <c r="AW31" s="37">
        <v>0.05</v>
      </c>
      <c r="AX31" s="234">
        <f>AW31*AU27</f>
        <v>0</v>
      </c>
      <c r="AY31" s="28"/>
      <c r="AZ31" s="246" t="s">
        <v>64</v>
      </c>
      <c r="BA31" s="45"/>
      <c r="BB31" s="44"/>
      <c r="BC31" s="44"/>
      <c r="BD31" s="39">
        <v>3.0000000000000001E-3</v>
      </c>
      <c r="BE31" s="234">
        <f>BD31*BB27</f>
        <v>0</v>
      </c>
      <c r="BF31" s="22" t="s">
        <v>27</v>
      </c>
      <c r="BG31" s="216">
        <v>0</v>
      </c>
      <c r="BH31" s="217">
        <f>+BG31*$E30</f>
        <v>0</v>
      </c>
      <c r="BI31" s="22" t="s">
        <v>28</v>
      </c>
      <c r="BJ31" s="214">
        <v>0</v>
      </c>
      <c r="BK31" s="215">
        <f>+BJ31/AQ31</f>
        <v>0</v>
      </c>
      <c r="BL31" s="21"/>
      <c r="BM31" s="212"/>
      <c r="BN31" s="213"/>
      <c r="BO31" s="22"/>
      <c r="BP31" s="221"/>
      <c r="BQ31" s="215"/>
      <c r="BR31" s="21" t="s">
        <v>66</v>
      </c>
      <c r="BS31" s="212">
        <v>0</v>
      </c>
      <c r="BT31" s="213">
        <f>+BS31*R25</f>
        <v>0</v>
      </c>
      <c r="BU31" s="22" t="s">
        <v>28</v>
      </c>
      <c r="BV31" s="221">
        <v>0</v>
      </c>
      <c r="BW31" s="215" t="e">
        <f>+BV31/R26</f>
        <v>#DIV/0!</v>
      </c>
      <c r="BX31" s="22" t="s">
        <v>27</v>
      </c>
      <c r="BY31" s="216">
        <v>0</v>
      </c>
      <c r="BZ31" s="217">
        <f>+BY31*$E30</f>
        <v>0</v>
      </c>
      <c r="CA31" s="22" t="s">
        <v>28</v>
      </c>
      <c r="CB31" s="214">
        <v>0</v>
      </c>
      <c r="CC31" s="215" t="e">
        <f>+CB31/BI31</f>
        <v>#VALUE!</v>
      </c>
    </row>
    <row r="32" spans="1:81" ht="21" customHeight="1">
      <c r="A32" s="222" t="s">
        <v>56</v>
      </c>
      <c r="B32" s="256"/>
      <c r="C32" s="3"/>
      <c r="D32" s="51"/>
      <c r="E32" s="51"/>
      <c r="F32" s="51"/>
      <c r="G32" s="238"/>
      <c r="H32" s="223" t="s">
        <v>31</v>
      </c>
      <c r="I32" s="224" t="e">
        <f>+J32/G25</f>
        <v>#DIV/0!</v>
      </c>
      <c r="J32" s="25">
        <f>SUM(J30:J31)</f>
        <v>0</v>
      </c>
      <c r="K32" s="225" t="s">
        <v>32</v>
      </c>
      <c r="L32" s="226">
        <f>SUM(L30:L31)</f>
        <v>0</v>
      </c>
      <c r="M32" s="227" t="e">
        <f>+L32/G26</f>
        <v>#DIV/0!</v>
      </c>
      <c r="N32" s="243" t="s">
        <v>107</v>
      </c>
      <c r="O32" s="44"/>
      <c r="P32" s="44"/>
      <c r="Q32" s="44"/>
      <c r="R32" s="39">
        <v>3.0000000000000001E-3</v>
      </c>
      <c r="S32" s="233">
        <f>R32*P27</f>
        <v>0</v>
      </c>
      <c r="T32" s="231" t="s">
        <v>108</v>
      </c>
      <c r="U32" s="42"/>
      <c r="V32" s="43"/>
      <c r="W32" s="43"/>
      <c r="X32" s="37">
        <v>5.0000000000000001E-3</v>
      </c>
      <c r="Y32" s="234">
        <f>X32*V27</f>
        <v>0</v>
      </c>
      <c r="Z32" s="244"/>
      <c r="AA32" s="42"/>
      <c r="AB32" s="43"/>
      <c r="AC32" s="43"/>
      <c r="AD32" s="46"/>
      <c r="AE32" s="234">
        <f>AD32*AB27</f>
        <v>0</v>
      </c>
      <c r="AF32" s="244"/>
      <c r="AG32" s="42"/>
      <c r="AH32" s="43"/>
      <c r="AI32" s="43"/>
      <c r="AJ32" s="46"/>
      <c r="AK32" s="234">
        <f>AJ32*AH27</f>
        <v>0</v>
      </c>
      <c r="AL32" s="28"/>
      <c r="AM32" s="246" t="s">
        <v>68</v>
      </c>
      <c r="AN32" s="45"/>
      <c r="AO32" s="44"/>
      <c r="AP32" s="44"/>
      <c r="AQ32" s="39">
        <v>0.03</v>
      </c>
      <c r="AR32" s="234">
        <f>AQ32*AO27</f>
        <v>0</v>
      </c>
      <c r="AS32" s="244" t="s">
        <v>69</v>
      </c>
      <c r="AT32" s="42"/>
      <c r="AU32" s="43"/>
      <c r="AV32" s="43"/>
      <c r="AW32" s="46">
        <v>2E-3</v>
      </c>
      <c r="AX32" s="234">
        <f>AW32*AU27</f>
        <v>0</v>
      </c>
      <c r="AY32" s="28"/>
      <c r="AZ32" s="246" t="s">
        <v>68</v>
      </c>
      <c r="BA32" s="45"/>
      <c r="BB32" s="44"/>
      <c r="BC32" s="44"/>
      <c r="BD32" s="39">
        <v>0.03</v>
      </c>
      <c r="BE32" s="234">
        <f>BD32*BB27</f>
        <v>0</v>
      </c>
      <c r="BF32" s="223" t="s">
        <v>31</v>
      </c>
      <c r="BG32" s="224" t="e">
        <f>+BH32/T25</f>
        <v>#VALUE!</v>
      </c>
      <c r="BH32" s="25">
        <f>SUM(BH30:BH31)</f>
        <v>0</v>
      </c>
      <c r="BI32" s="27" t="s">
        <v>31</v>
      </c>
      <c r="BJ32" s="226">
        <f>SUM(BJ30:BJ31)</f>
        <v>0</v>
      </c>
      <c r="BK32" s="227" t="e">
        <f>+BJ32/T26</f>
        <v>#VALUE!</v>
      </c>
      <c r="BL32" s="223"/>
      <c r="BM32" s="224"/>
      <c r="BN32" s="25"/>
      <c r="BO32" s="27"/>
      <c r="BP32" s="225"/>
      <c r="BQ32" s="227"/>
      <c r="BR32" s="223" t="s">
        <v>31</v>
      </c>
      <c r="BS32" s="224" t="e">
        <f>+BT32/T25</f>
        <v>#VALUE!</v>
      </c>
      <c r="BT32" s="25">
        <f>SUM(BT30:BT31)</f>
        <v>0</v>
      </c>
      <c r="BU32" s="27" t="s">
        <v>31</v>
      </c>
      <c r="BV32" s="225">
        <f>SUM(BV30:BV31)</f>
        <v>0</v>
      </c>
      <c r="BW32" s="227" t="e">
        <f>+BV32/T26</f>
        <v>#VALUE!</v>
      </c>
      <c r="BX32" s="223" t="s">
        <v>31</v>
      </c>
      <c r="BY32" s="224" t="e">
        <f>+BZ32/T25</f>
        <v>#VALUE!</v>
      </c>
      <c r="BZ32" s="25">
        <f>SUM(BZ30:BZ31)</f>
        <v>0</v>
      </c>
      <c r="CA32" s="27" t="s">
        <v>31</v>
      </c>
      <c r="CB32" s="226">
        <f>SUM(CB30:CB31)</f>
        <v>0</v>
      </c>
      <c r="CC32" s="227" t="e">
        <f>+CB32/T26</f>
        <v>#VALUE!</v>
      </c>
    </row>
    <row r="33" spans="1:81" ht="21" customHeight="1">
      <c r="A33" s="222"/>
      <c r="B33" s="242"/>
      <c r="C33" s="51"/>
      <c r="D33" s="51"/>
      <c r="E33" s="51"/>
      <c r="F33" s="51"/>
      <c r="G33" s="238"/>
      <c r="H33" s="228"/>
      <c r="I33" s="29"/>
      <c r="J33" s="29"/>
      <c r="K33" s="236"/>
      <c r="L33" s="229">
        <v>0.16</v>
      </c>
      <c r="M33" s="230">
        <f>+J32*L33</f>
        <v>0</v>
      </c>
      <c r="N33" s="247"/>
      <c r="O33" s="248"/>
      <c r="P33" s="248"/>
      <c r="Q33" s="248"/>
      <c r="R33" s="39"/>
      <c r="S33" s="261">
        <f>R33*P27</f>
        <v>0</v>
      </c>
      <c r="T33" s="244"/>
      <c r="U33" s="42"/>
      <c r="V33" s="43"/>
      <c r="W33" s="43"/>
      <c r="X33" s="37"/>
      <c r="Y33" s="234">
        <f>X33*V27</f>
        <v>0</v>
      </c>
      <c r="Z33" s="247"/>
      <c r="AA33" s="252"/>
      <c r="AB33" s="248"/>
      <c r="AC33" s="248"/>
      <c r="AD33" s="249"/>
      <c r="AE33" s="250">
        <f>AD33*AB27</f>
        <v>0</v>
      </c>
      <c r="AF33" s="251"/>
      <c r="AG33" s="47"/>
      <c r="AH33" s="48"/>
      <c r="AI33" s="48"/>
      <c r="AJ33" s="49"/>
      <c r="AK33" s="250">
        <f>AJ33*AH27</f>
        <v>0</v>
      </c>
      <c r="AL33" s="28"/>
      <c r="AM33" s="247" t="s">
        <v>72</v>
      </c>
      <c r="AN33" s="252"/>
      <c r="AO33" s="248"/>
      <c r="AP33" s="248"/>
      <c r="AQ33" s="249">
        <v>0.02</v>
      </c>
      <c r="AR33" s="250">
        <f>AQ33*AO27</f>
        <v>0</v>
      </c>
      <c r="AS33" s="251" t="s">
        <v>73</v>
      </c>
      <c r="AT33" s="47"/>
      <c r="AU33" s="48"/>
      <c r="AV33" s="48"/>
      <c r="AW33" s="49">
        <v>3.0000000000000001E-3</v>
      </c>
      <c r="AX33" s="250">
        <f>AW33*AU27</f>
        <v>0</v>
      </c>
      <c r="AY33" s="28"/>
      <c r="AZ33" s="247" t="s">
        <v>72</v>
      </c>
      <c r="BA33" s="252"/>
      <c r="BB33" s="248"/>
      <c r="BC33" s="248"/>
      <c r="BD33" s="249">
        <v>0.02</v>
      </c>
      <c r="BE33" s="250">
        <f>BD33*BB27</f>
        <v>0</v>
      </c>
      <c r="BF33" s="235" t="s">
        <v>74</v>
      </c>
      <c r="BG33" s="32"/>
      <c r="BH33" s="33"/>
      <c r="BI33" s="33"/>
      <c r="BJ33" s="39">
        <v>0.08</v>
      </c>
      <c r="BK33" s="253">
        <f>+BH32*BJ33</f>
        <v>0</v>
      </c>
      <c r="BL33" s="465"/>
      <c r="BM33" s="461"/>
      <c r="BN33" s="461"/>
      <c r="BO33" s="239"/>
      <c r="BP33" s="240"/>
      <c r="BQ33" s="211"/>
      <c r="BR33" s="465"/>
      <c r="BS33" s="461"/>
      <c r="BT33" s="461"/>
      <c r="BU33" s="239"/>
      <c r="BV33" s="240">
        <f>+BT32*BU33</f>
        <v>0</v>
      </c>
      <c r="BW33" s="211"/>
      <c r="BX33" s="465" t="s">
        <v>75</v>
      </c>
      <c r="BY33" s="461"/>
      <c r="BZ33" s="461"/>
      <c r="CA33" s="239"/>
      <c r="CB33" s="239">
        <v>1</v>
      </c>
      <c r="CC33" s="253">
        <f>+BZ32*CB33</f>
        <v>0</v>
      </c>
    </row>
    <row r="34" spans="1:81" ht="21" customHeight="1">
      <c r="A34" s="11">
        <f>A24+1</f>
        <v>2</v>
      </c>
      <c r="B34" s="440" t="s">
        <v>8</v>
      </c>
      <c r="C34" s="432"/>
      <c r="D34" s="440" t="s">
        <v>9</v>
      </c>
      <c r="E34" s="432"/>
      <c r="F34" s="199" t="s">
        <v>10</v>
      </c>
      <c r="G34" s="200"/>
      <c r="H34" s="441" t="s">
        <v>89</v>
      </c>
      <c r="I34" s="431"/>
      <c r="J34" s="431"/>
      <c r="K34" s="431"/>
      <c r="L34" s="431"/>
      <c r="M34" s="432"/>
      <c r="N34" s="442" t="s">
        <v>109</v>
      </c>
      <c r="O34" s="431"/>
      <c r="P34" s="431"/>
      <c r="Q34" s="431"/>
      <c r="R34" s="431"/>
      <c r="S34" s="432"/>
      <c r="T34" s="443" t="s">
        <v>91</v>
      </c>
      <c r="U34" s="431"/>
      <c r="V34" s="431"/>
      <c r="W34" s="431"/>
      <c r="X34" s="431"/>
      <c r="Y34" s="432"/>
      <c r="Z34" s="430" t="s">
        <v>110</v>
      </c>
      <c r="AA34" s="431"/>
      <c r="AB34" s="431"/>
      <c r="AC34" s="431"/>
      <c r="AD34" s="431"/>
      <c r="AE34" s="432"/>
      <c r="AF34" s="430" t="s">
        <v>93</v>
      </c>
      <c r="AG34" s="431"/>
      <c r="AH34" s="431"/>
      <c r="AI34" s="431"/>
      <c r="AJ34" s="431"/>
      <c r="AK34" s="432"/>
      <c r="AL34" s="12"/>
      <c r="AM34" s="436" t="s">
        <v>16</v>
      </c>
      <c r="AN34" s="431"/>
      <c r="AO34" s="431"/>
      <c r="AP34" s="431"/>
      <c r="AQ34" s="431"/>
      <c r="AR34" s="432"/>
      <c r="AS34" s="430" t="s">
        <v>17</v>
      </c>
      <c r="AT34" s="431"/>
      <c r="AU34" s="431"/>
      <c r="AV34" s="431"/>
      <c r="AW34" s="431"/>
      <c r="AX34" s="432"/>
      <c r="AY34" s="12"/>
      <c r="AZ34" s="436" t="s">
        <v>16</v>
      </c>
      <c r="BA34" s="431"/>
      <c r="BB34" s="431"/>
      <c r="BC34" s="431"/>
      <c r="BD34" s="431"/>
      <c r="BE34" s="432"/>
      <c r="BF34" s="437" t="s">
        <v>18</v>
      </c>
      <c r="BG34" s="431"/>
      <c r="BH34" s="431"/>
      <c r="BI34" s="431"/>
      <c r="BJ34" s="431"/>
      <c r="BK34" s="432"/>
      <c r="BL34" s="438" t="s">
        <v>19</v>
      </c>
      <c r="BM34" s="431"/>
      <c r="BN34" s="431"/>
      <c r="BO34" s="431"/>
      <c r="BP34" s="431"/>
      <c r="BQ34" s="432"/>
      <c r="BR34" s="438" t="s">
        <v>20</v>
      </c>
      <c r="BS34" s="431"/>
      <c r="BT34" s="431"/>
      <c r="BU34" s="431"/>
      <c r="BV34" s="431"/>
      <c r="BW34" s="432"/>
      <c r="BX34" s="437" t="s">
        <v>78</v>
      </c>
      <c r="BY34" s="431"/>
      <c r="BZ34" s="431"/>
      <c r="CA34" s="431"/>
      <c r="CB34" s="431"/>
      <c r="CC34" s="432"/>
    </row>
    <row r="35" spans="1:81" ht="21" customHeight="1">
      <c r="A35" s="202"/>
      <c r="B35" s="203" t="s">
        <v>22</v>
      </c>
      <c r="C35" s="204"/>
      <c r="D35" s="203" t="s">
        <v>22</v>
      </c>
      <c r="E35" s="205"/>
      <c r="F35" s="203" t="s">
        <v>22</v>
      </c>
      <c r="G35" s="13">
        <f t="shared" ref="G35:G36" si="3">+C35+E35</f>
        <v>0</v>
      </c>
      <c r="H35" s="206" t="s">
        <v>23</v>
      </c>
      <c r="I35" s="14">
        <v>0</v>
      </c>
      <c r="J35" s="15">
        <f>+I35*C35</f>
        <v>0</v>
      </c>
      <c r="K35" s="207" t="s">
        <v>24</v>
      </c>
      <c r="L35" s="16">
        <v>0</v>
      </c>
      <c r="M35" s="208" t="e">
        <f>+L35/C36</f>
        <v>#DIV/0!</v>
      </c>
      <c r="N35" s="206" t="s">
        <v>23</v>
      </c>
      <c r="O35" s="14">
        <v>0</v>
      </c>
      <c r="P35" s="17">
        <f>+O35*C35</f>
        <v>0</v>
      </c>
      <c r="Q35" s="207" t="s">
        <v>24</v>
      </c>
      <c r="R35" s="16">
        <v>0</v>
      </c>
      <c r="S35" s="208" t="e">
        <f>+R35/C36</f>
        <v>#DIV/0!</v>
      </c>
      <c r="T35" s="207" t="s">
        <v>23</v>
      </c>
      <c r="U35" s="14">
        <v>0</v>
      </c>
      <c r="V35" s="17">
        <f>+U35*$C35</f>
        <v>0</v>
      </c>
      <c r="W35" s="207" t="s">
        <v>24</v>
      </c>
      <c r="X35" s="16">
        <v>0</v>
      </c>
      <c r="Y35" s="208" t="e">
        <f>+X35/C36</f>
        <v>#DIV/0!</v>
      </c>
      <c r="Z35" s="207" t="s">
        <v>23</v>
      </c>
      <c r="AA35" s="14">
        <v>0</v>
      </c>
      <c r="AB35" s="17">
        <f>+AA35*$C35</f>
        <v>0</v>
      </c>
      <c r="AC35" s="207" t="s">
        <v>24</v>
      </c>
      <c r="AD35" s="18"/>
      <c r="AE35" s="208" t="e">
        <f>+AD35/C36</f>
        <v>#DIV/0!</v>
      </c>
      <c r="AF35" s="206" t="s">
        <v>23</v>
      </c>
      <c r="AG35" s="14">
        <v>0</v>
      </c>
      <c r="AH35" s="17">
        <f>+AG35*C35</f>
        <v>0</v>
      </c>
      <c r="AI35" s="207" t="s">
        <v>24</v>
      </c>
      <c r="AJ35" s="18">
        <v>0</v>
      </c>
      <c r="AK35" s="208" t="e">
        <f>AJ35/C36</f>
        <v>#DIV/0!</v>
      </c>
      <c r="AL35" s="3"/>
      <c r="AM35" s="206" t="s">
        <v>23</v>
      </c>
      <c r="AN35" s="14"/>
      <c r="AO35" s="17">
        <f>+AN35*C35</f>
        <v>0</v>
      </c>
      <c r="AP35" s="207" t="s">
        <v>24</v>
      </c>
      <c r="AQ35" s="18"/>
      <c r="AR35" s="208" t="e">
        <f>+AQ35/C36</f>
        <v>#DIV/0!</v>
      </c>
      <c r="AS35" s="207" t="s">
        <v>23</v>
      </c>
      <c r="AT35" s="14">
        <v>0</v>
      </c>
      <c r="AU35" s="17">
        <f>+AT35*$C35</f>
        <v>0</v>
      </c>
      <c r="AV35" s="207" t="s">
        <v>24</v>
      </c>
      <c r="AW35" s="16">
        <v>0</v>
      </c>
      <c r="AX35" s="208" t="e">
        <f>+AW35/AB36</f>
        <v>#DIV/0!</v>
      </c>
      <c r="AY35" s="3"/>
      <c r="AZ35" s="206" t="s">
        <v>23</v>
      </c>
      <c r="BA35" s="14"/>
      <c r="BB35" s="17">
        <f>+BA35*P35</f>
        <v>0</v>
      </c>
      <c r="BC35" s="207" t="s">
        <v>24</v>
      </c>
      <c r="BD35" s="18"/>
      <c r="BE35" s="208" t="e">
        <f>+BD35/P36</f>
        <v>#DIV/0!</v>
      </c>
      <c r="BF35" s="207" t="s">
        <v>23</v>
      </c>
      <c r="BG35" s="14">
        <v>0</v>
      </c>
      <c r="BH35" s="17">
        <f>+BG35*$C35</f>
        <v>0</v>
      </c>
      <c r="BI35" s="207" t="s">
        <v>24</v>
      </c>
      <c r="BJ35" s="16">
        <v>0</v>
      </c>
      <c r="BK35" s="208" t="e">
        <f>+BJ35/AO36</f>
        <v>#DIV/0!</v>
      </c>
      <c r="BL35" s="206" t="s">
        <v>23</v>
      </c>
      <c r="BM35" s="14"/>
      <c r="BN35" s="15">
        <f>+BM35*P35</f>
        <v>0</v>
      </c>
      <c r="BO35" s="207" t="s">
        <v>24</v>
      </c>
      <c r="BP35" s="18">
        <v>0</v>
      </c>
      <c r="BQ35" s="208" t="e">
        <f>+BP35/P36</f>
        <v>#DIV/0!</v>
      </c>
      <c r="BR35" s="206" t="s">
        <v>23</v>
      </c>
      <c r="BS35" s="14"/>
      <c r="BT35" s="15">
        <f>+BS35*P35</f>
        <v>0</v>
      </c>
      <c r="BU35" s="207" t="s">
        <v>24</v>
      </c>
      <c r="BV35" s="18">
        <v>0</v>
      </c>
      <c r="BW35" s="208" t="e">
        <f>+BV35/P36</f>
        <v>#DIV/0!</v>
      </c>
      <c r="BX35" s="207" t="s">
        <v>23</v>
      </c>
      <c r="BY35" s="14">
        <v>0</v>
      </c>
      <c r="BZ35" s="17">
        <f>+BY35*$C35</f>
        <v>0</v>
      </c>
      <c r="CA35" s="207" t="s">
        <v>24</v>
      </c>
      <c r="CB35" s="16">
        <v>0</v>
      </c>
      <c r="CC35" s="208" t="e">
        <f>+CB35/BG36</f>
        <v>#DIV/0!</v>
      </c>
    </row>
    <row r="36" spans="1:81" ht="21" customHeight="1">
      <c r="A36" s="209" t="s">
        <v>111</v>
      </c>
      <c r="B36" s="210" t="s">
        <v>26</v>
      </c>
      <c r="C36" s="19"/>
      <c r="D36" s="210" t="s">
        <v>26</v>
      </c>
      <c r="E36" s="20"/>
      <c r="F36" s="210" t="s">
        <v>26</v>
      </c>
      <c r="G36" s="211">
        <f t="shared" si="3"/>
        <v>0</v>
      </c>
      <c r="H36" s="21" t="s">
        <v>27</v>
      </c>
      <c r="I36" s="212">
        <v>0</v>
      </c>
      <c r="J36" s="213">
        <f>+E35*I36</f>
        <v>0</v>
      </c>
      <c r="K36" s="22" t="s">
        <v>28</v>
      </c>
      <c r="L36" s="214">
        <v>0</v>
      </c>
      <c r="M36" s="215" t="e">
        <f>+L36/E36</f>
        <v>#DIV/0!</v>
      </c>
      <c r="N36" s="21" t="s">
        <v>27</v>
      </c>
      <c r="O36" s="216">
        <v>0</v>
      </c>
      <c r="P36" s="217">
        <f>+O36*E35</f>
        <v>0</v>
      </c>
      <c r="Q36" s="22" t="s">
        <v>28</v>
      </c>
      <c r="R36" s="214">
        <v>0</v>
      </c>
      <c r="S36" s="215" t="e">
        <f>+R36/E36</f>
        <v>#DIV/0!</v>
      </c>
      <c r="T36" s="22" t="s">
        <v>27</v>
      </c>
      <c r="U36" s="216">
        <v>0</v>
      </c>
      <c r="V36" s="217">
        <f>+U36*$E35</f>
        <v>0</v>
      </c>
      <c r="W36" s="22" t="s">
        <v>28</v>
      </c>
      <c r="X36" s="214">
        <v>0</v>
      </c>
      <c r="Y36" s="215" t="e">
        <f>+X36/E36</f>
        <v>#DIV/0!</v>
      </c>
      <c r="Z36" s="22" t="s">
        <v>27</v>
      </c>
      <c r="AA36" s="218"/>
      <c r="AB36" s="23">
        <f>+E35*AA36</f>
        <v>0</v>
      </c>
      <c r="AC36" s="219" t="s">
        <v>28</v>
      </c>
      <c r="AD36" s="220"/>
      <c r="AE36" s="24" t="e">
        <f>+AD36/E36</f>
        <v>#DIV/0!</v>
      </c>
      <c r="AF36" s="21" t="s">
        <v>27</v>
      </c>
      <c r="AG36" s="216">
        <v>0</v>
      </c>
      <c r="AH36" s="217">
        <f>+AG36*E35</f>
        <v>0</v>
      </c>
      <c r="AI36" s="22" t="s">
        <v>28</v>
      </c>
      <c r="AJ36" s="221">
        <v>0</v>
      </c>
      <c r="AK36" s="215" t="e">
        <f>+AJ36/E36</f>
        <v>#DIV/0!</v>
      </c>
      <c r="AL36" s="3"/>
      <c r="AM36" s="21" t="s">
        <v>27</v>
      </c>
      <c r="AN36" s="216"/>
      <c r="AO36" s="217">
        <f>+AN36*E35</f>
        <v>0</v>
      </c>
      <c r="AP36" s="22" t="s">
        <v>28</v>
      </c>
      <c r="AQ36" s="221"/>
      <c r="AR36" s="215" t="e">
        <f>+AQ36/E36</f>
        <v>#DIV/0!</v>
      </c>
      <c r="AS36" s="22" t="s">
        <v>27</v>
      </c>
      <c r="AT36" s="216">
        <v>0</v>
      </c>
      <c r="AU36" s="217">
        <f>+AT36*$E35</f>
        <v>0</v>
      </c>
      <c r="AV36" s="22" t="s">
        <v>28</v>
      </c>
      <c r="AW36" s="214">
        <v>0</v>
      </c>
      <c r="AX36" s="215" t="e">
        <f>+AW36/AD36</f>
        <v>#DIV/0!</v>
      </c>
      <c r="AY36" s="3"/>
      <c r="AZ36" s="21" t="s">
        <v>27</v>
      </c>
      <c r="BA36" s="216"/>
      <c r="BB36" s="217">
        <f>+BA36*R35</f>
        <v>0</v>
      </c>
      <c r="BC36" s="22" t="s">
        <v>28</v>
      </c>
      <c r="BD36" s="221"/>
      <c r="BE36" s="215" t="e">
        <f>+BD36/R36</f>
        <v>#DIV/0!</v>
      </c>
      <c r="BF36" s="22" t="s">
        <v>27</v>
      </c>
      <c r="BG36" s="216">
        <v>0</v>
      </c>
      <c r="BH36" s="217">
        <f>+BG36*$E35</f>
        <v>0</v>
      </c>
      <c r="BI36" s="22" t="s">
        <v>28</v>
      </c>
      <c r="BJ36" s="214">
        <v>0</v>
      </c>
      <c r="BK36" s="215" t="e">
        <f>+BJ36/AQ36</f>
        <v>#DIV/0!</v>
      </c>
      <c r="BL36" s="21" t="s">
        <v>27</v>
      </c>
      <c r="BM36" s="212">
        <v>0</v>
      </c>
      <c r="BN36" s="213">
        <f>+BM36*R35</f>
        <v>0</v>
      </c>
      <c r="BO36" s="22" t="s">
        <v>28</v>
      </c>
      <c r="BP36" s="221">
        <v>0</v>
      </c>
      <c r="BQ36" s="215" t="e">
        <f>+BP36/R36</f>
        <v>#DIV/0!</v>
      </c>
      <c r="BR36" s="21" t="s">
        <v>27</v>
      </c>
      <c r="BS36" s="212"/>
      <c r="BT36" s="213">
        <f>+BS36*R35</f>
        <v>0</v>
      </c>
      <c r="BU36" s="22" t="s">
        <v>28</v>
      </c>
      <c r="BV36" s="221">
        <v>0</v>
      </c>
      <c r="BW36" s="215" t="e">
        <f>+BV36/R36</f>
        <v>#DIV/0!</v>
      </c>
      <c r="BX36" s="22" t="s">
        <v>27</v>
      </c>
      <c r="BY36" s="216">
        <v>0</v>
      </c>
      <c r="BZ36" s="217">
        <f>+BY36*$E35</f>
        <v>0</v>
      </c>
      <c r="CA36" s="22" t="s">
        <v>28</v>
      </c>
      <c r="CB36" s="214">
        <v>0</v>
      </c>
      <c r="CC36" s="215" t="e">
        <f>+CB36/BI36</f>
        <v>#VALUE!</v>
      </c>
    </row>
    <row r="37" spans="1:81" ht="21" customHeight="1">
      <c r="A37" s="222" t="s">
        <v>94</v>
      </c>
      <c r="B37" s="453" t="s">
        <v>30</v>
      </c>
      <c r="C37" s="454"/>
      <c r="D37" s="455"/>
      <c r="E37" s="456" t="e">
        <f>+(J35+J40+P35+V35+AB35+AH35+AO35++AU35+AU40+BA35+BA40+BG35+BG40+BM35+BM40)/C35</f>
        <v>#DIV/0!</v>
      </c>
      <c r="F37" s="457"/>
      <c r="G37" s="458" t="e">
        <f>+(J37+J42+P37+V37+AB37+AH37+AO37+AU37+AU42+BA37+BA42+BG37+BG42+BM37+BM42)/(G35)</f>
        <v>#VALUE!</v>
      </c>
      <c r="H37" s="223" t="s">
        <v>31</v>
      </c>
      <c r="I37" s="224" t="e">
        <f>+J37/G35</f>
        <v>#DIV/0!</v>
      </c>
      <c r="J37" s="25">
        <f>SUM(J35:J36)</f>
        <v>0</v>
      </c>
      <c r="K37" s="225" t="s">
        <v>32</v>
      </c>
      <c r="L37" s="226">
        <f>SUM(L35:L36)</f>
        <v>0</v>
      </c>
      <c r="M37" s="227" t="e">
        <f>+L37/G36</f>
        <v>#DIV/0!</v>
      </c>
      <c r="N37" s="223" t="s">
        <v>31</v>
      </c>
      <c r="O37" s="224" t="e">
        <f>+P37/G35</f>
        <v>#DIV/0!</v>
      </c>
      <c r="P37" s="26">
        <f>+P35+P36</f>
        <v>0</v>
      </c>
      <c r="Q37" s="27" t="s">
        <v>31</v>
      </c>
      <c r="R37" s="226">
        <f>SUM(R35:R36)</f>
        <v>0</v>
      </c>
      <c r="S37" s="227" t="e">
        <f>+R37/G36</f>
        <v>#DIV/0!</v>
      </c>
      <c r="T37" s="225" t="s">
        <v>31</v>
      </c>
      <c r="U37" s="224" t="e">
        <f>+V37/$G35</f>
        <v>#DIV/0!</v>
      </c>
      <c r="V37" s="26">
        <f>SUM(V35:V36)</f>
        <v>0</v>
      </c>
      <c r="W37" s="27" t="s">
        <v>31</v>
      </c>
      <c r="X37" s="226">
        <f>SUM(X35:X36)</f>
        <v>0</v>
      </c>
      <c r="Y37" s="227" t="e">
        <f>+X37/G36</f>
        <v>#DIV/0!</v>
      </c>
      <c r="Z37" s="225" t="s">
        <v>31</v>
      </c>
      <c r="AA37" s="224" t="e">
        <f>+AB37/$G35</f>
        <v>#DIV/0!</v>
      </c>
      <c r="AB37" s="26">
        <f>+AB35+AB36</f>
        <v>0</v>
      </c>
      <c r="AC37" s="27" t="s">
        <v>31</v>
      </c>
      <c r="AD37" s="225">
        <f>SUM(AD35:AD36)</f>
        <v>0</v>
      </c>
      <c r="AE37" s="227" t="e">
        <f>+AD37/G36</f>
        <v>#DIV/0!</v>
      </c>
      <c r="AF37" s="223" t="s">
        <v>31</v>
      </c>
      <c r="AG37" s="224" t="e">
        <f>+AH37/G35</f>
        <v>#DIV/0!</v>
      </c>
      <c r="AH37" s="26">
        <f>+AH35+AH36</f>
        <v>0</v>
      </c>
      <c r="AI37" s="27" t="s">
        <v>31</v>
      </c>
      <c r="AJ37" s="225">
        <f>SUM(AJ35:AJ36)</f>
        <v>0</v>
      </c>
      <c r="AK37" s="227" t="e">
        <f>+AJ37/G36</f>
        <v>#DIV/0!</v>
      </c>
      <c r="AL37" s="28"/>
      <c r="AM37" s="223" t="s">
        <v>31</v>
      </c>
      <c r="AN37" s="224" t="e">
        <f>+AO37/G35</f>
        <v>#DIV/0!</v>
      </c>
      <c r="AO37" s="26">
        <f>+AO35+AO36</f>
        <v>0</v>
      </c>
      <c r="AP37" s="27" t="s">
        <v>31</v>
      </c>
      <c r="AQ37" s="225">
        <f>SUM(AQ35:AQ36)</f>
        <v>0</v>
      </c>
      <c r="AR37" s="227" t="e">
        <f>+AQ37/G36</f>
        <v>#DIV/0!</v>
      </c>
      <c r="AS37" s="223" t="s">
        <v>31</v>
      </c>
      <c r="AT37" s="224" t="e">
        <f>+AU37/T35</f>
        <v>#VALUE!</v>
      </c>
      <c r="AU37" s="26">
        <f>+AU35+AU36</f>
        <v>0</v>
      </c>
      <c r="AV37" s="27" t="s">
        <v>31</v>
      </c>
      <c r="AW37" s="226">
        <f>SUM(AW35:AW36)</f>
        <v>0</v>
      </c>
      <c r="AX37" s="227" t="e">
        <f>+AW37/T36</f>
        <v>#VALUE!</v>
      </c>
      <c r="AY37" s="28"/>
      <c r="AZ37" s="223" t="s">
        <v>31</v>
      </c>
      <c r="BA37" s="224" t="e">
        <f>+BB37/T35</f>
        <v>#VALUE!</v>
      </c>
      <c r="BB37" s="26">
        <f>+BB35+BB36</f>
        <v>0</v>
      </c>
      <c r="BC37" s="27" t="s">
        <v>31</v>
      </c>
      <c r="BD37" s="225">
        <f>SUM(BD35:BD36)</f>
        <v>0</v>
      </c>
      <c r="BE37" s="227" t="e">
        <f>+BD37/T36</f>
        <v>#VALUE!</v>
      </c>
      <c r="BF37" s="223" t="s">
        <v>31</v>
      </c>
      <c r="BG37" s="224" t="e">
        <f>+BH37/T35</f>
        <v>#VALUE!</v>
      </c>
      <c r="BH37" s="25">
        <f>SUM(BH35:BH36)</f>
        <v>0</v>
      </c>
      <c r="BI37" s="27" t="s">
        <v>31</v>
      </c>
      <c r="BJ37" s="226">
        <f>SUM(BJ35:BJ36)</f>
        <v>0</v>
      </c>
      <c r="BK37" s="227" t="e">
        <f>+BJ37/T36</f>
        <v>#VALUE!</v>
      </c>
      <c r="BL37" s="223" t="s">
        <v>31</v>
      </c>
      <c r="BM37" s="224" t="e">
        <f>+BN37/T35</f>
        <v>#VALUE!</v>
      </c>
      <c r="BN37" s="25">
        <f>SUM(BN35:BN36)</f>
        <v>0</v>
      </c>
      <c r="BO37" s="27" t="s">
        <v>31</v>
      </c>
      <c r="BP37" s="225">
        <f>SUM(BP35:BP36)</f>
        <v>0</v>
      </c>
      <c r="BQ37" s="227" t="e">
        <f>+BP37/T36</f>
        <v>#VALUE!</v>
      </c>
      <c r="BR37" s="223" t="s">
        <v>31</v>
      </c>
      <c r="BS37" s="224" t="e">
        <f>+BT37/T35</f>
        <v>#VALUE!</v>
      </c>
      <c r="BT37" s="25">
        <f>SUM(BT35:BT36)</f>
        <v>0</v>
      </c>
      <c r="BU37" s="27" t="s">
        <v>31</v>
      </c>
      <c r="BV37" s="225">
        <f>SUM(BV35:BV36)</f>
        <v>0</v>
      </c>
      <c r="BW37" s="227" t="e">
        <f>+BV37/T36</f>
        <v>#VALUE!</v>
      </c>
      <c r="BX37" s="223" t="s">
        <v>31</v>
      </c>
      <c r="BY37" s="224" t="e">
        <f>+BZ37/T35</f>
        <v>#VALUE!</v>
      </c>
      <c r="BZ37" s="25">
        <f>SUM(BZ35:BZ36)</f>
        <v>0</v>
      </c>
      <c r="CA37" s="27" t="s">
        <v>31</v>
      </c>
      <c r="CB37" s="226">
        <f>SUM(CB35:CB36)</f>
        <v>0</v>
      </c>
      <c r="CC37" s="227" t="e">
        <f>+CB37/T36</f>
        <v>#VALUE!</v>
      </c>
    </row>
    <row r="38" spans="1:81" ht="21" customHeight="1">
      <c r="A38" s="222" t="s">
        <v>29</v>
      </c>
      <c r="B38" s="460" t="s">
        <v>34</v>
      </c>
      <c r="C38" s="461"/>
      <c r="D38" s="462"/>
      <c r="E38" s="463" t="e">
        <f>+(J36+J41+P36+V36+AB36+AH36+AO36+AU36+AU41+BA36+BA41+BG36+BG41+BM36+BM41)/E35</f>
        <v>#DIV/0!</v>
      </c>
      <c r="F38" s="464"/>
      <c r="G38" s="459"/>
      <c r="H38" s="228" t="s">
        <v>82</v>
      </c>
      <c r="I38" s="29"/>
      <c r="J38" s="29"/>
      <c r="K38" s="3"/>
      <c r="L38" s="229">
        <v>0.22</v>
      </c>
      <c r="M38" s="230">
        <f>+L38*J37</f>
        <v>0</v>
      </c>
      <c r="N38" s="235" t="s">
        <v>36</v>
      </c>
      <c r="O38" s="32"/>
      <c r="P38" s="33"/>
      <c r="Q38" s="33"/>
      <c r="R38" s="39">
        <v>0.1</v>
      </c>
      <c r="S38" s="233">
        <f>R38*P37</f>
        <v>0</v>
      </c>
      <c r="T38" s="231" t="s">
        <v>37</v>
      </c>
      <c r="U38" s="232"/>
      <c r="V38" s="232"/>
      <c r="W38" s="31"/>
      <c r="X38" s="31">
        <v>0.15</v>
      </c>
      <c r="Y38" s="234">
        <f>X38*V37</f>
        <v>0</v>
      </c>
      <c r="Z38" s="244" t="s">
        <v>112</v>
      </c>
      <c r="AA38" s="232"/>
      <c r="AB38" s="232"/>
      <c r="AC38" s="31"/>
      <c r="AD38" s="31">
        <v>1</v>
      </c>
      <c r="AE38" s="234">
        <f>AD38*AB37</f>
        <v>0</v>
      </c>
      <c r="AF38" s="231" t="s">
        <v>39</v>
      </c>
      <c r="AG38" s="35"/>
      <c r="AH38" s="36"/>
      <c r="AI38" s="36"/>
      <c r="AJ38" s="37">
        <v>7.4999999999999997E-2</v>
      </c>
      <c r="AK38" s="234">
        <f>AJ38*AH37</f>
        <v>0</v>
      </c>
      <c r="AL38" s="38"/>
      <c r="AM38" s="235" t="s">
        <v>40</v>
      </c>
      <c r="AN38" s="32"/>
      <c r="AO38" s="33"/>
      <c r="AP38" s="33"/>
      <c r="AQ38" s="39">
        <v>1</v>
      </c>
      <c r="AR38" s="234">
        <f>AQ38*AO37</f>
        <v>0</v>
      </c>
      <c r="AS38" s="231" t="s">
        <v>41</v>
      </c>
      <c r="AT38" s="35"/>
      <c r="AU38" s="36"/>
      <c r="AV38" s="36"/>
      <c r="AW38" s="37">
        <v>0.83</v>
      </c>
      <c r="AX38" s="234">
        <f>AW38*AU37</f>
        <v>0</v>
      </c>
      <c r="AY38" s="38"/>
      <c r="AZ38" s="235" t="s">
        <v>40</v>
      </c>
      <c r="BA38" s="32"/>
      <c r="BB38" s="33"/>
      <c r="BC38" s="33"/>
      <c r="BD38" s="39">
        <v>1</v>
      </c>
      <c r="BE38" s="234">
        <f>BD38*BB37</f>
        <v>0</v>
      </c>
      <c r="BF38" s="465" t="s">
        <v>42</v>
      </c>
      <c r="BG38" s="461"/>
      <c r="BH38" s="461"/>
      <c r="BI38" s="236"/>
      <c r="BJ38" s="237">
        <v>0.1</v>
      </c>
      <c r="BK38" s="230">
        <f>+BJ38*BH37</f>
        <v>0</v>
      </c>
      <c r="BL38" s="465"/>
      <c r="BM38" s="461"/>
      <c r="BN38" s="461"/>
      <c r="BO38" s="40"/>
      <c r="BP38" s="41">
        <f>+BN37*BO38</f>
        <v>0</v>
      </c>
      <c r="BQ38" s="238"/>
      <c r="BR38" s="465" t="s">
        <v>43</v>
      </c>
      <c r="BS38" s="461"/>
      <c r="BT38" s="461"/>
      <c r="BU38" s="239">
        <v>0.1</v>
      </c>
      <c r="BV38" s="240">
        <f>+BT37*BU38</f>
        <v>0</v>
      </c>
      <c r="BW38" s="211"/>
      <c r="BX38" s="465" t="s">
        <v>44</v>
      </c>
      <c r="BY38" s="461"/>
      <c r="BZ38" s="461"/>
      <c r="CA38" s="3"/>
      <c r="CB38" s="40">
        <v>0.09</v>
      </c>
      <c r="CC38" s="241">
        <f>+BZ37*CB38</f>
        <v>0</v>
      </c>
    </row>
    <row r="39" spans="1:81" ht="21" customHeight="1">
      <c r="A39" s="222" t="s">
        <v>45</v>
      </c>
      <c r="B39" s="453" t="s">
        <v>46</v>
      </c>
      <c r="C39" s="454"/>
      <c r="D39" s="455"/>
      <c r="E39" s="466" t="e">
        <f>+(L37+L42+R37+X37+AD37+AJ37+AQ37+AW37+AW42+BC37+BC42+BI37+BI42+BO37+BO42)/G36</f>
        <v>#VALUE!</v>
      </c>
      <c r="F39" s="467"/>
      <c r="G39" s="468"/>
      <c r="H39" s="441" t="s">
        <v>47</v>
      </c>
      <c r="I39" s="431"/>
      <c r="J39" s="431"/>
      <c r="K39" s="431"/>
      <c r="L39" s="431"/>
      <c r="M39" s="432"/>
      <c r="N39" s="235" t="s">
        <v>113</v>
      </c>
      <c r="O39" s="32"/>
      <c r="P39" s="33"/>
      <c r="Q39" s="33"/>
      <c r="R39" s="39">
        <v>0.04</v>
      </c>
      <c r="S39" s="233">
        <f>R39*P37</f>
        <v>0</v>
      </c>
      <c r="T39" s="231" t="s">
        <v>99</v>
      </c>
      <c r="U39" s="35"/>
      <c r="V39" s="36"/>
      <c r="W39" s="36"/>
      <c r="X39" s="37">
        <v>0.05</v>
      </c>
      <c r="Y39" s="234">
        <f>X39*V37</f>
        <v>0</v>
      </c>
      <c r="Z39" s="244" t="s">
        <v>114</v>
      </c>
      <c r="AA39" s="36"/>
      <c r="AB39" s="36"/>
      <c r="AC39" s="36"/>
      <c r="AD39" s="31">
        <v>0.05</v>
      </c>
      <c r="AE39" s="234">
        <f>AD39*AB37</f>
        <v>0</v>
      </c>
      <c r="AF39" s="231" t="s">
        <v>101</v>
      </c>
      <c r="AG39" s="35"/>
      <c r="AH39" s="36"/>
      <c r="AI39" s="36"/>
      <c r="AJ39" s="37">
        <v>5.0000000000000001E-3</v>
      </c>
      <c r="AK39" s="234">
        <f>AJ39*AH37</f>
        <v>0</v>
      </c>
      <c r="AL39" s="28"/>
      <c r="AM39" s="235" t="s">
        <v>52</v>
      </c>
      <c r="AN39" s="32"/>
      <c r="AO39" s="33"/>
      <c r="AP39" s="33"/>
      <c r="AQ39" s="39">
        <v>0.125</v>
      </c>
      <c r="AR39" s="234">
        <f>AQ39*AO37</f>
        <v>0</v>
      </c>
      <c r="AS39" s="231" t="s">
        <v>53</v>
      </c>
      <c r="AT39" s="35"/>
      <c r="AU39" s="36"/>
      <c r="AV39" s="36"/>
      <c r="AW39" s="37">
        <v>0.13</v>
      </c>
      <c r="AX39" s="234">
        <f>AW39*AU37</f>
        <v>0</v>
      </c>
      <c r="AY39" s="28"/>
      <c r="AZ39" s="235" t="s">
        <v>52</v>
      </c>
      <c r="BA39" s="32"/>
      <c r="BB39" s="33"/>
      <c r="BC39" s="33"/>
      <c r="BD39" s="39">
        <v>0.125</v>
      </c>
      <c r="BE39" s="234">
        <f>BD39*BB37</f>
        <v>0</v>
      </c>
      <c r="BF39" s="437" t="s">
        <v>54</v>
      </c>
      <c r="BG39" s="431"/>
      <c r="BH39" s="431"/>
      <c r="BI39" s="431"/>
      <c r="BJ39" s="431"/>
      <c r="BK39" s="432"/>
      <c r="BL39" s="438"/>
      <c r="BM39" s="431"/>
      <c r="BN39" s="431"/>
      <c r="BO39" s="431"/>
      <c r="BP39" s="431"/>
      <c r="BQ39" s="432"/>
      <c r="BR39" s="438"/>
      <c r="BS39" s="431"/>
      <c r="BT39" s="431"/>
      <c r="BU39" s="431"/>
      <c r="BV39" s="431"/>
      <c r="BW39" s="432"/>
      <c r="BX39" s="437" t="s">
        <v>55</v>
      </c>
      <c r="BY39" s="431"/>
      <c r="BZ39" s="431"/>
      <c r="CA39" s="431"/>
      <c r="CB39" s="431"/>
      <c r="CC39" s="432"/>
    </row>
    <row r="40" spans="1:81" ht="21" customHeight="1">
      <c r="A40" s="222" t="s">
        <v>56</v>
      </c>
      <c r="B40" s="469"/>
      <c r="C40" s="454"/>
      <c r="D40" s="454"/>
      <c r="E40" s="454"/>
      <c r="F40" s="454"/>
      <c r="G40" s="457"/>
      <c r="H40" s="206" t="s">
        <v>23</v>
      </c>
      <c r="I40" s="14">
        <v>0</v>
      </c>
      <c r="J40" s="15">
        <f>+I40*C35</f>
        <v>0</v>
      </c>
      <c r="K40" s="207" t="s">
        <v>24</v>
      </c>
      <c r="L40" s="16">
        <v>0</v>
      </c>
      <c r="M40" s="208" t="e">
        <f>+L40/C36</f>
        <v>#DIV/0!</v>
      </c>
      <c r="N40" s="243" t="s">
        <v>63</v>
      </c>
      <c r="O40" s="45"/>
      <c r="P40" s="44"/>
      <c r="Q40" s="44"/>
      <c r="R40" s="39">
        <v>0.08</v>
      </c>
      <c r="S40" s="233">
        <f>R40*P37</f>
        <v>0</v>
      </c>
      <c r="T40" s="244" t="s">
        <v>102</v>
      </c>
      <c r="U40" s="42"/>
      <c r="V40" s="43"/>
      <c r="W40" s="43"/>
      <c r="X40" s="37">
        <v>1.4999999999999999E-2</v>
      </c>
      <c r="Y40" s="234">
        <f>X40*V37</f>
        <v>0</v>
      </c>
      <c r="Z40" s="244" t="s">
        <v>115</v>
      </c>
      <c r="AA40" s="43"/>
      <c r="AB40" s="43"/>
      <c r="AC40" s="43"/>
      <c r="AD40" s="31">
        <v>0.05</v>
      </c>
      <c r="AE40" s="234">
        <f>AD40*AB37</f>
        <v>0</v>
      </c>
      <c r="AF40" s="245"/>
      <c r="AG40" s="42"/>
      <c r="AH40" s="43"/>
      <c r="AI40" s="43"/>
      <c r="AJ40" s="39"/>
      <c r="AK40" s="234">
        <f>AJ40*AH37</f>
        <v>0</v>
      </c>
      <c r="AL40" s="28"/>
      <c r="AM40" s="246" t="s">
        <v>60</v>
      </c>
      <c r="AN40" s="45"/>
      <c r="AO40" s="44"/>
      <c r="AP40" s="44"/>
      <c r="AQ40" s="39">
        <v>0.03</v>
      </c>
      <c r="AR40" s="234">
        <f>AQ40*AO37</f>
        <v>0</v>
      </c>
      <c r="AS40" s="245" t="s">
        <v>61</v>
      </c>
      <c r="AT40" s="42"/>
      <c r="AU40" s="43"/>
      <c r="AV40" s="43"/>
      <c r="AW40" s="39">
        <v>0.7</v>
      </c>
      <c r="AX40" s="234">
        <f>AW40*AU37</f>
        <v>0</v>
      </c>
      <c r="AY40" s="28"/>
      <c r="AZ40" s="246" t="s">
        <v>60</v>
      </c>
      <c r="BA40" s="45"/>
      <c r="BB40" s="44"/>
      <c r="BC40" s="44"/>
      <c r="BD40" s="39">
        <v>0.03</v>
      </c>
      <c r="BE40" s="234">
        <f>BD40*BB37</f>
        <v>0</v>
      </c>
      <c r="BF40" s="207" t="s">
        <v>23</v>
      </c>
      <c r="BG40" s="14">
        <v>0</v>
      </c>
      <c r="BH40" s="17">
        <f>+BG40*$C40</f>
        <v>0</v>
      </c>
      <c r="BI40" s="207" t="s">
        <v>24</v>
      </c>
      <c r="BJ40" s="16">
        <v>0</v>
      </c>
      <c r="BK40" s="208" t="e">
        <f>+BJ40/AO41</f>
        <v>#DIV/0!</v>
      </c>
      <c r="BL40" s="206"/>
      <c r="BM40" s="14"/>
      <c r="BN40" s="15"/>
      <c r="BO40" s="207"/>
      <c r="BP40" s="18"/>
      <c r="BQ40" s="208"/>
      <c r="BR40" s="206" t="s">
        <v>62</v>
      </c>
      <c r="BS40" s="14"/>
      <c r="BT40" s="15">
        <f>+BS40*P35</f>
        <v>0</v>
      </c>
      <c r="BU40" s="207" t="s">
        <v>24</v>
      </c>
      <c r="BV40" s="18">
        <v>0</v>
      </c>
      <c r="BW40" s="208" t="e">
        <f>+BV40/P36</f>
        <v>#DIV/0!</v>
      </c>
      <c r="BX40" s="207" t="s">
        <v>23</v>
      </c>
      <c r="BY40" s="14">
        <v>0</v>
      </c>
      <c r="BZ40" s="17">
        <f>+BY40*$C40</f>
        <v>0</v>
      </c>
      <c r="CA40" s="207" t="s">
        <v>24</v>
      </c>
      <c r="CB40" s="16">
        <v>0</v>
      </c>
      <c r="CC40" s="208" t="e">
        <f>+CB40/BG41</f>
        <v>#DIV/0!</v>
      </c>
    </row>
    <row r="41" spans="1:81" ht="21" customHeight="1">
      <c r="A41" s="222"/>
      <c r="B41" s="242"/>
      <c r="C41" s="51"/>
      <c r="D41" s="51"/>
      <c r="E41" s="51"/>
      <c r="F41" s="51"/>
      <c r="G41" s="238"/>
      <c r="H41" s="21" t="s">
        <v>27</v>
      </c>
      <c r="I41" s="212">
        <v>0</v>
      </c>
      <c r="J41" s="213">
        <f>+I41*E35</f>
        <v>0</v>
      </c>
      <c r="K41" s="22" t="s">
        <v>28</v>
      </c>
      <c r="L41" s="214">
        <v>0</v>
      </c>
      <c r="M41" s="215" t="e">
        <f>+L41/E36</f>
        <v>#DIV/0!</v>
      </c>
      <c r="N41" s="243" t="s">
        <v>116</v>
      </c>
      <c r="O41" s="45"/>
      <c r="P41" s="44"/>
      <c r="Q41" s="44"/>
      <c r="R41" s="39">
        <v>0.08</v>
      </c>
      <c r="S41" s="233">
        <f>R41*P37</f>
        <v>0</v>
      </c>
      <c r="T41" s="244" t="s">
        <v>105</v>
      </c>
      <c r="U41" s="42"/>
      <c r="V41" s="43"/>
      <c r="W41" s="43"/>
      <c r="X41" s="37">
        <v>1.4999999999999999E-2</v>
      </c>
      <c r="Y41" s="234">
        <f>X41*V37</f>
        <v>0</v>
      </c>
      <c r="Z41" s="244" t="s">
        <v>117</v>
      </c>
      <c r="AA41" s="43"/>
      <c r="AB41" s="43"/>
      <c r="AC41" s="43"/>
      <c r="AD41" s="31">
        <v>0.01</v>
      </c>
      <c r="AE41" s="234">
        <f>AD41*AB37</f>
        <v>0</v>
      </c>
      <c r="AF41" s="245"/>
      <c r="AG41" s="42"/>
      <c r="AH41" s="43"/>
      <c r="AI41" s="43"/>
      <c r="AJ41" s="37"/>
      <c r="AK41" s="234">
        <f>AJ41*AH37</f>
        <v>0</v>
      </c>
      <c r="AL41" s="28"/>
      <c r="AM41" s="246" t="s">
        <v>64</v>
      </c>
      <c r="AN41" s="45"/>
      <c r="AO41" s="44"/>
      <c r="AP41" s="44"/>
      <c r="AQ41" s="39">
        <v>3.0000000000000001E-3</v>
      </c>
      <c r="AR41" s="234">
        <f>AQ41*AO37</f>
        <v>0</v>
      </c>
      <c r="AS41" s="245" t="s">
        <v>65</v>
      </c>
      <c r="AT41" s="42"/>
      <c r="AU41" s="43"/>
      <c r="AV41" s="43"/>
      <c r="AW41" s="37">
        <v>0.05</v>
      </c>
      <c r="AX41" s="234">
        <f>AW41*AU37</f>
        <v>0</v>
      </c>
      <c r="AY41" s="28"/>
      <c r="AZ41" s="246" t="s">
        <v>64</v>
      </c>
      <c r="BA41" s="45"/>
      <c r="BB41" s="44"/>
      <c r="BC41" s="44"/>
      <c r="BD41" s="39">
        <v>3.0000000000000001E-3</v>
      </c>
      <c r="BE41" s="234">
        <f>BD41*BB37</f>
        <v>0</v>
      </c>
      <c r="BF41" s="22" t="s">
        <v>27</v>
      </c>
      <c r="BG41" s="216">
        <v>0</v>
      </c>
      <c r="BH41" s="217">
        <f>+BG41*$E40</f>
        <v>0</v>
      </c>
      <c r="BI41" s="22" t="s">
        <v>28</v>
      </c>
      <c r="BJ41" s="214">
        <v>0</v>
      </c>
      <c r="BK41" s="215">
        <f>+BJ41/AQ41</f>
        <v>0</v>
      </c>
      <c r="BL41" s="21"/>
      <c r="BM41" s="212"/>
      <c r="BN41" s="213"/>
      <c r="BO41" s="22"/>
      <c r="BP41" s="221"/>
      <c r="BQ41" s="215"/>
      <c r="BR41" s="21" t="s">
        <v>66</v>
      </c>
      <c r="BS41" s="212">
        <v>0</v>
      </c>
      <c r="BT41" s="213">
        <f>+BS41*R35</f>
        <v>0</v>
      </c>
      <c r="BU41" s="22" t="s">
        <v>28</v>
      </c>
      <c r="BV41" s="221">
        <v>0</v>
      </c>
      <c r="BW41" s="215" t="e">
        <f>+BV41/R36</f>
        <v>#DIV/0!</v>
      </c>
      <c r="BX41" s="22" t="s">
        <v>27</v>
      </c>
      <c r="BY41" s="216">
        <v>0</v>
      </c>
      <c r="BZ41" s="217">
        <f>+BY41*$E40</f>
        <v>0</v>
      </c>
      <c r="CA41" s="22" t="s">
        <v>28</v>
      </c>
      <c r="CB41" s="214">
        <v>0</v>
      </c>
      <c r="CC41" s="215" t="e">
        <f>+CB41/BI41</f>
        <v>#VALUE!</v>
      </c>
    </row>
    <row r="42" spans="1:81" ht="21" customHeight="1">
      <c r="A42" s="222"/>
      <c r="B42" s="256"/>
      <c r="C42" s="51"/>
      <c r="D42" s="51"/>
      <c r="E42" s="51"/>
      <c r="F42" s="51"/>
      <c r="G42" s="238"/>
      <c r="H42" s="223" t="s">
        <v>31</v>
      </c>
      <c r="I42" s="224" t="e">
        <f>+J42/G35</f>
        <v>#DIV/0!</v>
      </c>
      <c r="J42" s="25">
        <f>SUM(J40:J41)</f>
        <v>0</v>
      </c>
      <c r="K42" s="225" t="s">
        <v>32</v>
      </c>
      <c r="L42" s="226">
        <f>SUM(L40:L41)</f>
        <v>0</v>
      </c>
      <c r="M42" s="227" t="e">
        <f>+L42/G36</f>
        <v>#DIV/0!</v>
      </c>
      <c r="N42" s="246"/>
      <c r="O42" s="45"/>
      <c r="P42" s="44"/>
      <c r="Q42" s="44"/>
      <c r="R42" s="46"/>
      <c r="S42" s="233">
        <f>R42*P37</f>
        <v>0</v>
      </c>
      <c r="T42" s="231" t="s">
        <v>108</v>
      </c>
      <c r="U42" s="42"/>
      <c r="V42" s="43"/>
      <c r="W42" s="43"/>
      <c r="X42" s="37">
        <v>5.0000000000000001E-3</v>
      </c>
      <c r="Y42" s="234">
        <f>X42*V37</f>
        <v>0</v>
      </c>
      <c r="Z42" s="244" t="s">
        <v>100</v>
      </c>
      <c r="AA42" s="42"/>
      <c r="AB42" s="43"/>
      <c r="AC42" s="43"/>
      <c r="AD42" s="46">
        <v>5.0000000000000001E-3</v>
      </c>
      <c r="AE42" s="234">
        <f>AD42*AB37</f>
        <v>0</v>
      </c>
      <c r="AF42" s="244"/>
      <c r="AG42" s="42"/>
      <c r="AH42" s="43"/>
      <c r="AI42" s="43"/>
      <c r="AJ42" s="46"/>
      <c r="AK42" s="234">
        <f>AJ42*AH37</f>
        <v>0</v>
      </c>
      <c r="AL42" s="28"/>
      <c r="AM42" s="246" t="s">
        <v>68</v>
      </c>
      <c r="AN42" s="45"/>
      <c r="AO42" s="44"/>
      <c r="AP42" s="44"/>
      <c r="AQ42" s="39">
        <v>0.03</v>
      </c>
      <c r="AR42" s="234">
        <f>AQ42*AO37</f>
        <v>0</v>
      </c>
      <c r="AS42" s="244" t="s">
        <v>69</v>
      </c>
      <c r="AT42" s="42"/>
      <c r="AU42" s="43"/>
      <c r="AV42" s="43"/>
      <c r="AW42" s="46">
        <v>2E-3</v>
      </c>
      <c r="AX42" s="234">
        <f>AW42*AU37</f>
        <v>0</v>
      </c>
      <c r="AY42" s="28"/>
      <c r="AZ42" s="246" t="s">
        <v>68</v>
      </c>
      <c r="BA42" s="45"/>
      <c r="BB42" s="44"/>
      <c r="BC42" s="44"/>
      <c r="BD42" s="39">
        <v>0.03</v>
      </c>
      <c r="BE42" s="234">
        <f>BD42*BB37</f>
        <v>0</v>
      </c>
      <c r="BF42" s="223" t="s">
        <v>31</v>
      </c>
      <c r="BG42" s="224" t="e">
        <f>+BH42/T35</f>
        <v>#VALUE!</v>
      </c>
      <c r="BH42" s="25">
        <f>SUM(BH40:BH41)</f>
        <v>0</v>
      </c>
      <c r="BI42" s="27" t="s">
        <v>31</v>
      </c>
      <c r="BJ42" s="226">
        <f>SUM(BJ40:BJ41)</f>
        <v>0</v>
      </c>
      <c r="BK42" s="227" t="e">
        <f>+BJ42/T36</f>
        <v>#VALUE!</v>
      </c>
      <c r="BL42" s="223"/>
      <c r="BM42" s="224"/>
      <c r="BN42" s="25"/>
      <c r="BO42" s="27"/>
      <c r="BP42" s="225"/>
      <c r="BQ42" s="227"/>
      <c r="BR42" s="223" t="s">
        <v>31</v>
      </c>
      <c r="BS42" s="224" t="e">
        <f>+BT42/T35</f>
        <v>#VALUE!</v>
      </c>
      <c r="BT42" s="25">
        <f>SUM(BT40:BT41)</f>
        <v>0</v>
      </c>
      <c r="BU42" s="27" t="s">
        <v>31</v>
      </c>
      <c r="BV42" s="225">
        <f>SUM(BV40:BV41)</f>
        <v>0</v>
      </c>
      <c r="BW42" s="227" t="e">
        <f>+BV42/T36</f>
        <v>#VALUE!</v>
      </c>
      <c r="BX42" s="223" t="s">
        <v>31</v>
      </c>
      <c r="BY42" s="224" t="e">
        <f>+BZ42/T35</f>
        <v>#VALUE!</v>
      </c>
      <c r="BZ42" s="25">
        <f>SUM(BZ40:BZ41)</f>
        <v>0</v>
      </c>
      <c r="CA42" s="27" t="s">
        <v>31</v>
      </c>
      <c r="CB42" s="226">
        <f>SUM(CB40:CB41)</f>
        <v>0</v>
      </c>
      <c r="CC42" s="227" t="e">
        <f>+CB42/T36</f>
        <v>#VALUE!</v>
      </c>
    </row>
    <row r="43" spans="1:81" ht="21" customHeight="1">
      <c r="A43" s="222"/>
      <c r="B43" s="242"/>
      <c r="C43" s="51"/>
      <c r="D43" s="51"/>
      <c r="E43" s="51"/>
      <c r="F43" s="51"/>
      <c r="G43" s="238"/>
      <c r="H43" s="228"/>
      <c r="I43" s="29"/>
      <c r="J43" s="29"/>
      <c r="K43" s="236"/>
      <c r="L43" s="229">
        <v>0.16</v>
      </c>
      <c r="M43" s="230">
        <f>+J42*L43</f>
        <v>0</v>
      </c>
      <c r="N43" s="247"/>
      <c r="O43" s="252"/>
      <c r="P43" s="248"/>
      <c r="Q43" s="248"/>
      <c r="R43" s="249"/>
      <c r="S43" s="261">
        <f>R43*P37</f>
        <v>0</v>
      </c>
      <c r="T43" s="244"/>
      <c r="U43" s="42"/>
      <c r="V43" s="43"/>
      <c r="W43" s="43"/>
      <c r="X43" s="37"/>
      <c r="Y43" s="234">
        <f>X43*V37</f>
        <v>0</v>
      </c>
      <c r="Z43" s="247"/>
      <c r="AA43" s="252"/>
      <c r="AB43" s="248"/>
      <c r="AC43" s="248"/>
      <c r="AD43" s="249"/>
      <c r="AE43" s="250">
        <f>AD43*AB37</f>
        <v>0</v>
      </c>
      <c r="AF43" s="251"/>
      <c r="AG43" s="47"/>
      <c r="AH43" s="48"/>
      <c r="AI43" s="48"/>
      <c r="AJ43" s="49"/>
      <c r="AK43" s="250">
        <f>AJ43*AH37</f>
        <v>0</v>
      </c>
      <c r="AL43" s="28"/>
      <c r="AM43" s="247" t="s">
        <v>72</v>
      </c>
      <c r="AN43" s="252"/>
      <c r="AO43" s="248"/>
      <c r="AP43" s="248"/>
      <c r="AQ43" s="249">
        <v>0.02</v>
      </c>
      <c r="AR43" s="250">
        <f>AQ43*AO37</f>
        <v>0</v>
      </c>
      <c r="AS43" s="251" t="s">
        <v>73</v>
      </c>
      <c r="AT43" s="47"/>
      <c r="AU43" s="48"/>
      <c r="AV43" s="48"/>
      <c r="AW43" s="49">
        <v>3.0000000000000001E-3</v>
      </c>
      <c r="AX43" s="250">
        <f>AW43*AU37</f>
        <v>0</v>
      </c>
      <c r="AY43" s="28"/>
      <c r="AZ43" s="247" t="s">
        <v>72</v>
      </c>
      <c r="BA43" s="252"/>
      <c r="BB43" s="248"/>
      <c r="BC43" s="248"/>
      <c r="BD43" s="249">
        <v>0.02</v>
      </c>
      <c r="BE43" s="250">
        <f>BD43*BB37</f>
        <v>0</v>
      </c>
      <c r="BF43" s="235" t="s">
        <v>74</v>
      </c>
      <c r="BG43" s="32"/>
      <c r="BH43" s="33"/>
      <c r="BI43" s="33"/>
      <c r="BJ43" s="39">
        <v>0.08</v>
      </c>
      <c r="BK43" s="253">
        <f>+BH42*BJ43</f>
        <v>0</v>
      </c>
      <c r="BL43" s="465"/>
      <c r="BM43" s="461"/>
      <c r="BN43" s="461"/>
      <c r="BO43" s="239"/>
      <c r="BP43" s="240"/>
      <c r="BQ43" s="211"/>
      <c r="BR43" s="465"/>
      <c r="BS43" s="461"/>
      <c r="BT43" s="461"/>
      <c r="BU43" s="239"/>
      <c r="BV43" s="240">
        <f>+BT42*BU43</f>
        <v>0</v>
      </c>
      <c r="BW43" s="211"/>
      <c r="BX43" s="465" t="s">
        <v>75</v>
      </c>
      <c r="BY43" s="461"/>
      <c r="BZ43" s="461"/>
      <c r="CA43" s="239"/>
      <c r="CB43" s="239">
        <v>1</v>
      </c>
      <c r="CC43" s="253">
        <f>+BZ42*CB43</f>
        <v>0</v>
      </c>
    </row>
    <row r="44" spans="1:81" ht="21" customHeight="1">
      <c r="A44" s="11">
        <f>A34+1</f>
        <v>3</v>
      </c>
      <c r="B44" s="440" t="s">
        <v>8</v>
      </c>
      <c r="C44" s="432"/>
      <c r="D44" s="440" t="s">
        <v>9</v>
      </c>
      <c r="E44" s="432"/>
      <c r="F44" s="199" t="s">
        <v>10</v>
      </c>
      <c r="G44" s="200"/>
      <c r="H44" s="441" t="s">
        <v>118</v>
      </c>
      <c r="I44" s="431"/>
      <c r="J44" s="431"/>
      <c r="K44" s="431"/>
      <c r="L44" s="431"/>
      <c r="M44" s="432"/>
      <c r="N44" s="442" t="s">
        <v>119</v>
      </c>
      <c r="O44" s="431"/>
      <c r="P44" s="431"/>
      <c r="Q44" s="431"/>
      <c r="R44" s="431"/>
      <c r="S44" s="432"/>
      <c r="T44" s="443" t="s">
        <v>120</v>
      </c>
      <c r="U44" s="431"/>
      <c r="V44" s="431"/>
      <c r="W44" s="431"/>
      <c r="X44" s="431"/>
      <c r="Y44" s="432"/>
      <c r="Z44" s="443" t="s">
        <v>121</v>
      </c>
      <c r="AA44" s="431"/>
      <c r="AB44" s="431"/>
      <c r="AC44" s="431"/>
      <c r="AD44" s="431"/>
      <c r="AE44" s="432"/>
      <c r="AF44" s="430" t="s">
        <v>122</v>
      </c>
      <c r="AG44" s="431"/>
      <c r="AH44" s="431"/>
      <c r="AI44" s="431"/>
      <c r="AJ44" s="431"/>
      <c r="AK44" s="432"/>
      <c r="AL44" s="12"/>
      <c r="AM44" s="436" t="s">
        <v>16</v>
      </c>
      <c r="AN44" s="431"/>
      <c r="AO44" s="431"/>
      <c r="AP44" s="431"/>
      <c r="AQ44" s="431"/>
      <c r="AR44" s="432"/>
      <c r="AS44" s="430" t="s">
        <v>17</v>
      </c>
      <c r="AT44" s="431"/>
      <c r="AU44" s="431"/>
      <c r="AV44" s="431"/>
      <c r="AW44" s="431"/>
      <c r="AX44" s="432"/>
      <c r="AY44" s="12"/>
      <c r="AZ44" s="436" t="s">
        <v>16</v>
      </c>
      <c r="BA44" s="431"/>
      <c r="BB44" s="431"/>
      <c r="BC44" s="431"/>
      <c r="BD44" s="431"/>
      <c r="BE44" s="432"/>
      <c r="BF44" s="437" t="s">
        <v>18</v>
      </c>
      <c r="BG44" s="431"/>
      <c r="BH44" s="431"/>
      <c r="BI44" s="431"/>
      <c r="BJ44" s="431"/>
      <c r="BK44" s="432"/>
      <c r="BL44" s="438" t="s">
        <v>19</v>
      </c>
      <c r="BM44" s="431"/>
      <c r="BN44" s="431"/>
      <c r="BO44" s="431"/>
      <c r="BP44" s="431"/>
      <c r="BQ44" s="432"/>
      <c r="BR44" s="438" t="s">
        <v>20</v>
      </c>
      <c r="BS44" s="431"/>
      <c r="BT44" s="431"/>
      <c r="BU44" s="431"/>
      <c r="BV44" s="431"/>
      <c r="BW44" s="432"/>
      <c r="BX44" s="437" t="s">
        <v>78</v>
      </c>
      <c r="BY44" s="431"/>
      <c r="BZ44" s="431"/>
      <c r="CA44" s="431"/>
      <c r="CB44" s="431"/>
      <c r="CC44" s="432"/>
    </row>
    <row r="45" spans="1:81" ht="21" customHeight="1">
      <c r="A45" s="202"/>
      <c r="B45" s="203" t="s">
        <v>22</v>
      </c>
      <c r="C45" s="204"/>
      <c r="D45" s="203" t="s">
        <v>22</v>
      </c>
      <c r="E45" s="205"/>
      <c r="F45" s="203" t="s">
        <v>22</v>
      </c>
      <c r="G45" s="13">
        <f t="shared" ref="G45:G46" si="4">+C45+E45</f>
        <v>0</v>
      </c>
      <c r="H45" s="206" t="s">
        <v>23</v>
      </c>
      <c r="I45" s="14">
        <v>0</v>
      </c>
      <c r="J45" s="15">
        <f>+I45*C45</f>
        <v>0</v>
      </c>
      <c r="K45" s="207" t="s">
        <v>24</v>
      </c>
      <c r="L45" s="16">
        <v>0</v>
      </c>
      <c r="M45" s="208" t="e">
        <f>+L45/C46</f>
        <v>#DIV/0!</v>
      </c>
      <c r="N45" s="206" t="s">
        <v>23</v>
      </c>
      <c r="O45" s="14">
        <v>0</v>
      </c>
      <c r="P45" s="17">
        <f>+O45*C45</f>
        <v>0</v>
      </c>
      <c r="Q45" s="207" t="s">
        <v>24</v>
      </c>
      <c r="R45" s="16">
        <v>0</v>
      </c>
      <c r="S45" s="208" t="e">
        <f>+R45/C46</f>
        <v>#DIV/0!</v>
      </c>
      <c r="T45" s="207" t="s">
        <v>23</v>
      </c>
      <c r="U45" s="14">
        <v>0</v>
      </c>
      <c r="V45" s="17">
        <f>+U45*$C45</f>
        <v>0</v>
      </c>
      <c r="W45" s="207" t="s">
        <v>24</v>
      </c>
      <c r="X45" s="16">
        <v>0</v>
      </c>
      <c r="Y45" s="208" t="e">
        <f>+X45/C46</f>
        <v>#DIV/0!</v>
      </c>
      <c r="Z45" s="207" t="s">
        <v>23</v>
      </c>
      <c r="AA45" s="14">
        <v>0</v>
      </c>
      <c r="AB45" s="17">
        <f>+AA45*$C45</f>
        <v>0</v>
      </c>
      <c r="AC45" s="207" t="s">
        <v>24</v>
      </c>
      <c r="AD45" s="18"/>
      <c r="AE45" s="208" t="e">
        <f>+AD45/C46</f>
        <v>#DIV/0!</v>
      </c>
      <c r="AF45" s="206" t="s">
        <v>23</v>
      </c>
      <c r="AG45" s="14">
        <v>0</v>
      </c>
      <c r="AH45" s="17">
        <f>+AG45*C45</f>
        <v>0</v>
      </c>
      <c r="AI45" s="207" t="s">
        <v>24</v>
      </c>
      <c r="AJ45" s="18">
        <v>0</v>
      </c>
      <c r="AK45" s="208" t="e">
        <f>AJ45/C46</f>
        <v>#DIV/0!</v>
      </c>
      <c r="AL45" s="3"/>
      <c r="AM45" s="206" t="s">
        <v>23</v>
      </c>
      <c r="AN45" s="14"/>
      <c r="AO45" s="17">
        <f>+AN45*C45</f>
        <v>0</v>
      </c>
      <c r="AP45" s="207" t="s">
        <v>24</v>
      </c>
      <c r="AQ45" s="18"/>
      <c r="AR45" s="208" t="e">
        <f>+AQ45/C46</f>
        <v>#DIV/0!</v>
      </c>
      <c r="AS45" s="207" t="s">
        <v>23</v>
      </c>
      <c r="AT45" s="14">
        <v>0</v>
      </c>
      <c r="AU45" s="17">
        <f>+AT45*$C45</f>
        <v>0</v>
      </c>
      <c r="AV45" s="207" t="s">
        <v>24</v>
      </c>
      <c r="AW45" s="16">
        <v>0</v>
      </c>
      <c r="AX45" s="208" t="e">
        <f>+AW45/AB46</f>
        <v>#DIV/0!</v>
      </c>
      <c r="AY45" s="3"/>
      <c r="AZ45" s="206" t="s">
        <v>23</v>
      </c>
      <c r="BA45" s="14"/>
      <c r="BB45" s="17">
        <f>+BA45*P45</f>
        <v>0</v>
      </c>
      <c r="BC45" s="207" t="s">
        <v>24</v>
      </c>
      <c r="BD45" s="18"/>
      <c r="BE45" s="208" t="e">
        <f>+BD45/P46</f>
        <v>#DIV/0!</v>
      </c>
      <c r="BF45" s="207" t="s">
        <v>23</v>
      </c>
      <c r="BG45" s="14">
        <v>0</v>
      </c>
      <c r="BH45" s="17">
        <f>+BG45*$C45</f>
        <v>0</v>
      </c>
      <c r="BI45" s="207" t="s">
        <v>24</v>
      </c>
      <c r="BJ45" s="16">
        <v>0</v>
      </c>
      <c r="BK45" s="208" t="e">
        <f>+BJ45/AO46</f>
        <v>#DIV/0!</v>
      </c>
      <c r="BL45" s="206" t="s">
        <v>23</v>
      </c>
      <c r="BM45" s="14"/>
      <c r="BN45" s="15">
        <f>+BM45*P45</f>
        <v>0</v>
      </c>
      <c r="BO45" s="207" t="s">
        <v>24</v>
      </c>
      <c r="BP45" s="18">
        <v>0</v>
      </c>
      <c r="BQ45" s="208" t="e">
        <f>+BP45/P46</f>
        <v>#DIV/0!</v>
      </c>
      <c r="BR45" s="206" t="s">
        <v>23</v>
      </c>
      <c r="BS45" s="14"/>
      <c r="BT45" s="15">
        <f>+BS45*P45</f>
        <v>0</v>
      </c>
      <c r="BU45" s="207" t="s">
        <v>24</v>
      </c>
      <c r="BV45" s="18">
        <v>0</v>
      </c>
      <c r="BW45" s="208" t="e">
        <f>+BV45/P46</f>
        <v>#DIV/0!</v>
      </c>
      <c r="BX45" s="207" t="s">
        <v>23</v>
      </c>
      <c r="BY45" s="14">
        <v>0</v>
      </c>
      <c r="BZ45" s="17">
        <f>+BY45*$C45</f>
        <v>0</v>
      </c>
      <c r="CA45" s="207" t="s">
        <v>24</v>
      </c>
      <c r="CB45" s="16">
        <v>0</v>
      </c>
      <c r="CC45" s="208" t="e">
        <f>+CB45/BG46</f>
        <v>#DIV/0!</v>
      </c>
    </row>
    <row r="46" spans="1:81" ht="21" customHeight="1">
      <c r="A46" s="209" t="s">
        <v>123</v>
      </c>
      <c r="B46" s="210" t="s">
        <v>26</v>
      </c>
      <c r="C46" s="19"/>
      <c r="D46" s="210" t="s">
        <v>26</v>
      </c>
      <c r="E46" s="20"/>
      <c r="F46" s="210" t="s">
        <v>26</v>
      </c>
      <c r="G46" s="211">
        <f t="shared" si="4"/>
        <v>0</v>
      </c>
      <c r="H46" s="21" t="s">
        <v>27</v>
      </c>
      <c r="I46" s="212">
        <v>0</v>
      </c>
      <c r="J46" s="213">
        <f>+E45*I46</f>
        <v>0</v>
      </c>
      <c r="K46" s="22" t="s">
        <v>28</v>
      </c>
      <c r="L46" s="214">
        <v>0</v>
      </c>
      <c r="M46" s="215" t="e">
        <f>+L46/E46</f>
        <v>#DIV/0!</v>
      </c>
      <c r="N46" s="21" t="s">
        <v>27</v>
      </c>
      <c r="O46" s="216">
        <v>0</v>
      </c>
      <c r="P46" s="217">
        <f>+O46*E45</f>
        <v>0</v>
      </c>
      <c r="Q46" s="22" t="s">
        <v>28</v>
      </c>
      <c r="R46" s="214">
        <v>0</v>
      </c>
      <c r="S46" s="215" t="e">
        <f>+R46/E46</f>
        <v>#DIV/0!</v>
      </c>
      <c r="T46" s="22" t="s">
        <v>27</v>
      </c>
      <c r="U46" s="216">
        <v>0</v>
      </c>
      <c r="V46" s="217">
        <f>+U46*$E45</f>
        <v>0</v>
      </c>
      <c r="W46" s="22" t="s">
        <v>28</v>
      </c>
      <c r="X46" s="214">
        <v>0</v>
      </c>
      <c r="Y46" s="215" t="e">
        <f>+X46/E46</f>
        <v>#DIV/0!</v>
      </c>
      <c r="Z46" s="22" t="s">
        <v>27</v>
      </c>
      <c r="AA46" s="218"/>
      <c r="AB46" s="23">
        <f>+E45*AA46</f>
        <v>0</v>
      </c>
      <c r="AC46" s="219" t="s">
        <v>28</v>
      </c>
      <c r="AD46" s="220"/>
      <c r="AE46" s="24" t="e">
        <f>+AD46/E46</f>
        <v>#DIV/0!</v>
      </c>
      <c r="AF46" s="21" t="s">
        <v>27</v>
      </c>
      <c r="AG46" s="216">
        <v>0</v>
      </c>
      <c r="AH46" s="217">
        <f>+AG46*E45</f>
        <v>0</v>
      </c>
      <c r="AI46" s="22" t="s">
        <v>28</v>
      </c>
      <c r="AJ46" s="221">
        <v>0</v>
      </c>
      <c r="AK46" s="215" t="e">
        <f>+AJ46/E46</f>
        <v>#DIV/0!</v>
      </c>
      <c r="AL46" s="3"/>
      <c r="AM46" s="21" t="s">
        <v>27</v>
      </c>
      <c r="AN46" s="216"/>
      <c r="AO46" s="217">
        <f>+AN46*E45</f>
        <v>0</v>
      </c>
      <c r="AP46" s="22" t="s">
        <v>28</v>
      </c>
      <c r="AQ46" s="221"/>
      <c r="AR46" s="215" t="e">
        <f>+AQ46/E46</f>
        <v>#DIV/0!</v>
      </c>
      <c r="AS46" s="22" t="s">
        <v>27</v>
      </c>
      <c r="AT46" s="216">
        <v>0</v>
      </c>
      <c r="AU46" s="217">
        <f>+AT46*$E45</f>
        <v>0</v>
      </c>
      <c r="AV46" s="22" t="s">
        <v>28</v>
      </c>
      <c r="AW46" s="214">
        <v>0</v>
      </c>
      <c r="AX46" s="215" t="e">
        <f>+AW46/AD46</f>
        <v>#DIV/0!</v>
      </c>
      <c r="AY46" s="3"/>
      <c r="AZ46" s="21" t="s">
        <v>27</v>
      </c>
      <c r="BA46" s="216"/>
      <c r="BB46" s="217">
        <f>+BA46*R45</f>
        <v>0</v>
      </c>
      <c r="BC46" s="22" t="s">
        <v>28</v>
      </c>
      <c r="BD46" s="221"/>
      <c r="BE46" s="215" t="e">
        <f>+BD46/R46</f>
        <v>#DIV/0!</v>
      </c>
      <c r="BF46" s="22" t="s">
        <v>27</v>
      </c>
      <c r="BG46" s="216">
        <v>0</v>
      </c>
      <c r="BH46" s="217">
        <f>+BG46*$E45</f>
        <v>0</v>
      </c>
      <c r="BI46" s="22" t="s">
        <v>28</v>
      </c>
      <c r="BJ46" s="214">
        <v>0</v>
      </c>
      <c r="BK46" s="215" t="e">
        <f>+BJ46/AQ46</f>
        <v>#DIV/0!</v>
      </c>
      <c r="BL46" s="21" t="s">
        <v>27</v>
      </c>
      <c r="BM46" s="212">
        <v>0</v>
      </c>
      <c r="BN46" s="213">
        <f>+BM46*R45</f>
        <v>0</v>
      </c>
      <c r="BO46" s="22" t="s">
        <v>28</v>
      </c>
      <c r="BP46" s="221">
        <v>0</v>
      </c>
      <c r="BQ46" s="215" t="e">
        <f>+BP46/R46</f>
        <v>#DIV/0!</v>
      </c>
      <c r="BR46" s="21" t="s">
        <v>27</v>
      </c>
      <c r="BS46" s="212"/>
      <c r="BT46" s="213">
        <f>+BS46*R45</f>
        <v>0</v>
      </c>
      <c r="BU46" s="22" t="s">
        <v>28</v>
      </c>
      <c r="BV46" s="221">
        <v>0</v>
      </c>
      <c r="BW46" s="215" t="e">
        <f>+BV46/R46</f>
        <v>#DIV/0!</v>
      </c>
      <c r="BX46" s="22" t="s">
        <v>27</v>
      </c>
      <c r="BY46" s="216">
        <v>0</v>
      </c>
      <c r="BZ46" s="217">
        <f>+BY46*$E45</f>
        <v>0</v>
      </c>
      <c r="CA46" s="22" t="s">
        <v>28</v>
      </c>
      <c r="CB46" s="214">
        <v>0</v>
      </c>
      <c r="CC46" s="215" t="e">
        <f>+CB46/BI46</f>
        <v>#VALUE!</v>
      </c>
    </row>
    <row r="47" spans="1:81" ht="21" customHeight="1">
      <c r="A47" s="262" t="s">
        <v>94</v>
      </c>
      <c r="B47" s="453" t="s">
        <v>30</v>
      </c>
      <c r="C47" s="454"/>
      <c r="D47" s="455"/>
      <c r="E47" s="456" t="e">
        <f>+(J45+J50+P45+V45+AB45+AH45+AO45++AU45+AU50+BA45+BA50+BG45+BG50+BM45+BM50)/C45</f>
        <v>#DIV/0!</v>
      </c>
      <c r="F47" s="457"/>
      <c r="G47" s="458" t="e">
        <f>+(J47+J52+P47+V47+AB47+AH47+AO47+AU47+AU52+BA47+BA52+BG47+BG52+BM47+BM52)/(G45)</f>
        <v>#VALUE!</v>
      </c>
      <c r="H47" s="223" t="s">
        <v>31</v>
      </c>
      <c r="I47" s="224" t="e">
        <f>+J47/G45</f>
        <v>#DIV/0!</v>
      </c>
      <c r="J47" s="25">
        <f>SUM(J45:J46)</f>
        <v>0</v>
      </c>
      <c r="K47" s="225" t="s">
        <v>32</v>
      </c>
      <c r="L47" s="226">
        <f>SUM(L45:L46)</f>
        <v>0</v>
      </c>
      <c r="M47" s="227" t="e">
        <f>+L47/G46</f>
        <v>#DIV/0!</v>
      </c>
      <c r="N47" s="223" t="s">
        <v>31</v>
      </c>
      <c r="O47" s="224" t="e">
        <f>+P47/G45</f>
        <v>#DIV/0!</v>
      </c>
      <c r="P47" s="26">
        <f>+P45+P46</f>
        <v>0</v>
      </c>
      <c r="Q47" s="27" t="s">
        <v>31</v>
      </c>
      <c r="R47" s="226">
        <f>SUM(R45:R46)</f>
        <v>0</v>
      </c>
      <c r="S47" s="227" t="e">
        <f>+R47/G46</f>
        <v>#DIV/0!</v>
      </c>
      <c r="T47" s="225" t="s">
        <v>31</v>
      </c>
      <c r="U47" s="224" t="e">
        <f>+V47/$G45</f>
        <v>#DIV/0!</v>
      </c>
      <c r="V47" s="26">
        <f>SUM(V45:V46)</f>
        <v>0</v>
      </c>
      <c r="W47" s="27" t="s">
        <v>31</v>
      </c>
      <c r="X47" s="226">
        <f>SUM(X45:X46)</f>
        <v>0</v>
      </c>
      <c r="Y47" s="227" t="e">
        <f>+X47/G46</f>
        <v>#DIV/0!</v>
      </c>
      <c r="Z47" s="225" t="s">
        <v>31</v>
      </c>
      <c r="AA47" s="224" t="e">
        <f>+AB47/$G45</f>
        <v>#DIV/0!</v>
      </c>
      <c r="AB47" s="26">
        <f>+AB45+AB46</f>
        <v>0</v>
      </c>
      <c r="AC47" s="27" t="s">
        <v>31</v>
      </c>
      <c r="AD47" s="225">
        <f>SUM(AD45:AD46)</f>
        <v>0</v>
      </c>
      <c r="AE47" s="227" t="e">
        <f>+AD47/G46</f>
        <v>#DIV/0!</v>
      </c>
      <c r="AF47" s="223" t="s">
        <v>31</v>
      </c>
      <c r="AG47" s="224" t="e">
        <f>+AH47/G45</f>
        <v>#DIV/0!</v>
      </c>
      <c r="AH47" s="26">
        <f>+AH45+AH46</f>
        <v>0</v>
      </c>
      <c r="AI47" s="27" t="s">
        <v>31</v>
      </c>
      <c r="AJ47" s="225">
        <f>SUM(AJ45:AJ46)</f>
        <v>0</v>
      </c>
      <c r="AK47" s="227" t="e">
        <f>+AJ47/G46</f>
        <v>#DIV/0!</v>
      </c>
      <c r="AL47" s="28"/>
      <c r="AM47" s="223" t="s">
        <v>31</v>
      </c>
      <c r="AN47" s="224" t="e">
        <f>+AO47/G45</f>
        <v>#DIV/0!</v>
      </c>
      <c r="AO47" s="26">
        <f>+AO45+AO46</f>
        <v>0</v>
      </c>
      <c r="AP47" s="27" t="s">
        <v>31</v>
      </c>
      <c r="AQ47" s="225">
        <f>SUM(AQ45:AQ46)</f>
        <v>0</v>
      </c>
      <c r="AR47" s="227" t="e">
        <f>+AQ47/G46</f>
        <v>#DIV/0!</v>
      </c>
      <c r="AS47" s="223" t="s">
        <v>31</v>
      </c>
      <c r="AT47" s="224" t="e">
        <f>+AU47/T45</f>
        <v>#VALUE!</v>
      </c>
      <c r="AU47" s="26">
        <f>+AU45+AU46</f>
        <v>0</v>
      </c>
      <c r="AV47" s="27" t="s">
        <v>31</v>
      </c>
      <c r="AW47" s="226">
        <f>SUM(AW45:AW46)</f>
        <v>0</v>
      </c>
      <c r="AX47" s="227" t="e">
        <f>+AW47/T46</f>
        <v>#VALUE!</v>
      </c>
      <c r="AY47" s="28"/>
      <c r="AZ47" s="223" t="s">
        <v>31</v>
      </c>
      <c r="BA47" s="224" t="e">
        <f>+BB47/T45</f>
        <v>#VALUE!</v>
      </c>
      <c r="BB47" s="26">
        <f>+BB45+BB46</f>
        <v>0</v>
      </c>
      <c r="BC47" s="27" t="s">
        <v>31</v>
      </c>
      <c r="BD47" s="225">
        <f>SUM(BD45:BD46)</f>
        <v>0</v>
      </c>
      <c r="BE47" s="227" t="e">
        <f>+BD47/T46</f>
        <v>#VALUE!</v>
      </c>
      <c r="BF47" s="223" t="s">
        <v>31</v>
      </c>
      <c r="BG47" s="224" t="e">
        <f>+BH47/T45</f>
        <v>#VALUE!</v>
      </c>
      <c r="BH47" s="25">
        <f>SUM(BH45:BH46)</f>
        <v>0</v>
      </c>
      <c r="BI47" s="27" t="s">
        <v>31</v>
      </c>
      <c r="BJ47" s="226">
        <f>SUM(BJ45:BJ46)</f>
        <v>0</v>
      </c>
      <c r="BK47" s="227" t="e">
        <f>+BJ47/T46</f>
        <v>#VALUE!</v>
      </c>
      <c r="BL47" s="223" t="s">
        <v>31</v>
      </c>
      <c r="BM47" s="224" t="e">
        <f>+BN47/T45</f>
        <v>#VALUE!</v>
      </c>
      <c r="BN47" s="25">
        <f>SUM(BN45:BN46)</f>
        <v>0</v>
      </c>
      <c r="BO47" s="27" t="s">
        <v>31</v>
      </c>
      <c r="BP47" s="225">
        <f>SUM(BP45:BP46)</f>
        <v>0</v>
      </c>
      <c r="BQ47" s="227" t="e">
        <f>+BP47/T46</f>
        <v>#VALUE!</v>
      </c>
      <c r="BR47" s="223" t="s">
        <v>31</v>
      </c>
      <c r="BS47" s="224" t="e">
        <f>+BT47/T45</f>
        <v>#VALUE!</v>
      </c>
      <c r="BT47" s="25">
        <f>SUM(BT45:BT46)</f>
        <v>0</v>
      </c>
      <c r="BU47" s="27" t="s">
        <v>31</v>
      </c>
      <c r="BV47" s="225">
        <f>SUM(BV45:BV46)</f>
        <v>0</v>
      </c>
      <c r="BW47" s="227" t="e">
        <f>+BV47/T46</f>
        <v>#VALUE!</v>
      </c>
      <c r="BX47" s="223" t="s">
        <v>31</v>
      </c>
      <c r="BY47" s="224" t="e">
        <f>+BZ47/T45</f>
        <v>#VALUE!</v>
      </c>
      <c r="BZ47" s="25">
        <f>SUM(BZ45:BZ46)</f>
        <v>0</v>
      </c>
      <c r="CA47" s="27" t="s">
        <v>31</v>
      </c>
      <c r="CB47" s="226">
        <f>SUM(CB45:CB46)</f>
        <v>0</v>
      </c>
      <c r="CC47" s="227" t="e">
        <f>+CB47/T46</f>
        <v>#VALUE!</v>
      </c>
    </row>
    <row r="48" spans="1:81" ht="21" customHeight="1">
      <c r="A48" s="262" t="s">
        <v>33</v>
      </c>
      <c r="B48" s="460" t="s">
        <v>34</v>
      </c>
      <c r="C48" s="461"/>
      <c r="D48" s="462"/>
      <c r="E48" s="463" t="e">
        <f>+(J46+J51+P46+V46+AB46+AH46+AO46+AU46+AU51+BA46+BA51+BG46+BG51+BM46+BM51)/E45</f>
        <v>#DIV/0!</v>
      </c>
      <c r="F48" s="464"/>
      <c r="G48" s="459"/>
      <c r="H48" s="228" t="s">
        <v>82</v>
      </c>
      <c r="I48" s="29"/>
      <c r="J48" s="29"/>
      <c r="K48" s="3"/>
      <c r="L48" s="229">
        <v>0.22</v>
      </c>
      <c r="M48" s="230">
        <f>+L48*J47</f>
        <v>0</v>
      </c>
      <c r="N48" s="244" t="s">
        <v>124</v>
      </c>
      <c r="O48" s="232"/>
      <c r="P48" s="232"/>
      <c r="Q48" s="31"/>
      <c r="R48" s="31">
        <v>0.04</v>
      </c>
      <c r="S48" s="233">
        <f t="shared" ref="S48:S53" si="5">R48*P47</f>
        <v>0</v>
      </c>
      <c r="T48" s="231" t="s">
        <v>37</v>
      </c>
      <c r="U48" s="232"/>
      <c r="V48" s="232"/>
      <c r="W48" s="31"/>
      <c r="X48" s="31">
        <v>0.15</v>
      </c>
      <c r="Y48" s="234">
        <f>X48*V47</f>
        <v>0</v>
      </c>
      <c r="Z48" s="244" t="s">
        <v>125</v>
      </c>
      <c r="AA48" s="232"/>
      <c r="AB48" s="232"/>
      <c r="AC48" s="31"/>
      <c r="AD48" s="31">
        <v>0.18</v>
      </c>
      <c r="AE48" s="234">
        <f>AD48*AB47</f>
        <v>0</v>
      </c>
      <c r="AF48" s="231" t="s">
        <v>39</v>
      </c>
      <c r="AG48" s="35"/>
      <c r="AH48" s="36"/>
      <c r="AI48" s="36"/>
      <c r="AJ48" s="37">
        <v>7.4999999999999997E-2</v>
      </c>
      <c r="AK48" s="234">
        <f>AJ48*AH47</f>
        <v>0</v>
      </c>
      <c r="AL48" s="38"/>
      <c r="AM48" s="235" t="s">
        <v>40</v>
      </c>
      <c r="AN48" s="32"/>
      <c r="AO48" s="33"/>
      <c r="AP48" s="33"/>
      <c r="AQ48" s="39">
        <v>1</v>
      </c>
      <c r="AR48" s="234">
        <f>AQ48*AO47</f>
        <v>0</v>
      </c>
      <c r="AS48" s="231" t="s">
        <v>41</v>
      </c>
      <c r="AT48" s="35"/>
      <c r="AU48" s="36"/>
      <c r="AV48" s="36"/>
      <c r="AW48" s="37">
        <v>0.83</v>
      </c>
      <c r="AX48" s="234">
        <f>AW48*AU47</f>
        <v>0</v>
      </c>
      <c r="AY48" s="38"/>
      <c r="AZ48" s="235" t="s">
        <v>40</v>
      </c>
      <c r="BA48" s="32"/>
      <c r="BB48" s="33"/>
      <c r="BC48" s="33"/>
      <c r="BD48" s="39">
        <v>1</v>
      </c>
      <c r="BE48" s="234">
        <f>BD48*BB47</f>
        <v>0</v>
      </c>
      <c r="BF48" s="465" t="s">
        <v>42</v>
      </c>
      <c r="BG48" s="461"/>
      <c r="BH48" s="461"/>
      <c r="BI48" s="236"/>
      <c r="BJ48" s="237">
        <v>0.1</v>
      </c>
      <c r="BK48" s="230">
        <f>+BJ48*BH47</f>
        <v>0</v>
      </c>
      <c r="BL48" s="465"/>
      <c r="BM48" s="461"/>
      <c r="BN48" s="461"/>
      <c r="BO48" s="40"/>
      <c r="BP48" s="41">
        <f>+BN47*BO48</f>
        <v>0</v>
      </c>
      <c r="BQ48" s="238"/>
      <c r="BR48" s="465" t="s">
        <v>43</v>
      </c>
      <c r="BS48" s="461"/>
      <c r="BT48" s="461"/>
      <c r="BU48" s="239">
        <v>0.1</v>
      </c>
      <c r="BV48" s="240">
        <f>+BT47*BU48</f>
        <v>0</v>
      </c>
      <c r="BW48" s="211"/>
      <c r="BX48" s="465" t="s">
        <v>44</v>
      </c>
      <c r="BY48" s="461"/>
      <c r="BZ48" s="461"/>
      <c r="CA48" s="3"/>
      <c r="CB48" s="40">
        <v>0.09</v>
      </c>
      <c r="CC48" s="241">
        <f>+BZ47*CB48</f>
        <v>0</v>
      </c>
    </row>
    <row r="49" spans="1:81" ht="21" customHeight="1">
      <c r="A49" s="262" t="s">
        <v>45</v>
      </c>
      <c r="B49" s="453" t="s">
        <v>46</v>
      </c>
      <c r="C49" s="454"/>
      <c r="D49" s="455"/>
      <c r="E49" s="466" t="e">
        <f>+(L47+L52+R47+X47+AD47+AJ47+AQ47+AW47+AW52+BC47+BC52+BI47+BI52+BO47+BO52)/G46</f>
        <v>#VALUE!</v>
      </c>
      <c r="F49" s="467"/>
      <c r="G49" s="468"/>
      <c r="H49" s="441" t="s">
        <v>47</v>
      </c>
      <c r="I49" s="431"/>
      <c r="J49" s="431"/>
      <c r="K49" s="431"/>
      <c r="L49" s="431"/>
      <c r="M49" s="432"/>
      <c r="N49" s="244" t="s">
        <v>126</v>
      </c>
      <c r="O49" s="36"/>
      <c r="P49" s="36"/>
      <c r="Q49" s="36"/>
      <c r="R49" s="31">
        <v>0.12</v>
      </c>
      <c r="S49" s="233">
        <f t="shared" si="5"/>
        <v>0</v>
      </c>
      <c r="T49" s="231" t="s">
        <v>127</v>
      </c>
      <c r="U49" s="35"/>
      <c r="V49" s="36"/>
      <c r="W49" s="36"/>
      <c r="X49" s="37">
        <v>5.0000000000000001E-3</v>
      </c>
      <c r="Y49" s="234">
        <f>X49*V47</f>
        <v>0</v>
      </c>
      <c r="Z49" s="231" t="s">
        <v>100</v>
      </c>
      <c r="AA49" s="35"/>
      <c r="AB49" s="36"/>
      <c r="AC49" s="36"/>
      <c r="AD49" s="37">
        <v>1.4999999999999999E-2</v>
      </c>
      <c r="AE49" s="234">
        <f>AD49*AB47</f>
        <v>0</v>
      </c>
      <c r="AF49" s="231" t="s">
        <v>128</v>
      </c>
      <c r="AG49" s="35"/>
      <c r="AH49" s="36"/>
      <c r="AI49" s="36"/>
      <c r="AJ49" s="37">
        <v>5.0000000000000001E-3</v>
      </c>
      <c r="AK49" s="234">
        <f>AJ49*AH47</f>
        <v>0</v>
      </c>
      <c r="AL49" s="28"/>
      <c r="AM49" s="235" t="s">
        <v>52</v>
      </c>
      <c r="AN49" s="32"/>
      <c r="AO49" s="33"/>
      <c r="AP49" s="33"/>
      <c r="AQ49" s="39">
        <v>0.125</v>
      </c>
      <c r="AR49" s="234">
        <f>AQ49*AO47</f>
        <v>0</v>
      </c>
      <c r="AS49" s="231" t="s">
        <v>53</v>
      </c>
      <c r="AT49" s="35"/>
      <c r="AU49" s="36"/>
      <c r="AV49" s="36"/>
      <c r="AW49" s="37">
        <v>0.13</v>
      </c>
      <c r="AX49" s="234">
        <f>AW49*AU47</f>
        <v>0</v>
      </c>
      <c r="AY49" s="28"/>
      <c r="AZ49" s="235" t="s">
        <v>52</v>
      </c>
      <c r="BA49" s="32"/>
      <c r="BB49" s="33"/>
      <c r="BC49" s="33"/>
      <c r="BD49" s="39">
        <v>0.125</v>
      </c>
      <c r="BE49" s="234">
        <f>BD49*BB47</f>
        <v>0</v>
      </c>
      <c r="BF49" s="437" t="s">
        <v>54</v>
      </c>
      <c r="BG49" s="431"/>
      <c r="BH49" s="431"/>
      <c r="BI49" s="431"/>
      <c r="BJ49" s="431"/>
      <c r="BK49" s="432"/>
      <c r="BL49" s="438"/>
      <c r="BM49" s="431"/>
      <c r="BN49" s="431"/>
      <c r="BO49" s="431"/>
      <c r="BP49" s="431"/>
      <c r="BQ49" s="432"/>
      <c r="BR49" s="438"/>
      <c r="BS49" s="431"/>
      <c r="BT49" s="431"/>
      <c r="BU49" s="431"/>
      <c r="BV49" s="431"/>
      <c r="BW49" s="432"/>
      <c r="BX49" s="437" t="s">
        <v>55</v>
      </c>
      <c r="BY49" s="431"/>
      <c r="BZ49" s="431"/>
      <c r="CA49" s="431"/>
      <c r="CB49" s="431"/>
      <c r="CC49" s="432"/>
    </row>
    <row r="50" spans="1:81" ht="21" customHeight="1">
      <c r="A50" s="262" t="s">
        <v>81</v>
      </c>
      <c r="B50" s="469"/>
      <c r="C50" s="454"/>
      <c r="D50" s="454"/>
      <c r="E50" s="454"/>
      <c r="F50" s="454"/>
      <c r="G50" s="457"/>
      <c r="H50" s="206" t="s">
        <v>23</v>
      </c>
      <c r="I50" s="14">
        <v>0</v>
      </c>
      <c r="J50" s="15">
        <f>+I50*C45</f>
        <v>0</v>
      </c>
      <c r="K50" s="207" t="s">
        <v>24</v>
      </c>
      <c r="L50" s="16">
        <v>0</v>
      </c>
      <c r="M50" s="208" t="e">
        <f>+L50/C46</f>
        <v>#DIV/0!</v>
      </c>
      <c r="N50" s="244" t="s">
        <v>85</v>
      </c>
      <c r="O50" s="43"/>
      <c r="P50" s="43"/>
      <c r="Q50" s="43"/>
      <c r="R50" s="31">
        <v>0.12</v>
      </c>
      <c r="S50" s="233">
        <f t="shared" si="5"/>
        <v>0</v>
      </c>
      <c r="T50" s="244" t="s">
        <v>129</v>
      </c>
      <c r="U50" s="42"/>
      <c r="V50" s="43"/>
      <c r="W50" s="43"/>
      <c r="X50" s="37">
        <v>3.0000000000000001E-3</v>
      </c>
      <c r="Y50" s="234">
        <f>X50*V47</f>
        <v>0</v>
      </c>
      <c r="Z50" s="244"/>
      <c r="AA50" s="42"/>
      <c r="AB50" s="43"/>
      <c r="AC50" s="43"/>
      <c r="AD50" s="37"/>
      <c r="AE50" s="234">
        <f>AD50*AB47</f>
        <v>0</v>
      </c>
      <c r="AF50" s="245"/>
      <c r="AG50" s="42"/>
      <c r="AH50" s="43"/>
      <c r="AI50" s="43"/>
      <c r="AJ50" s="39"/>
      <c r="AK50" s="234">
        <f>AJ50*AH47</f>
        <v>0</v>
      </c>
      <c r="AL50" s="28"/>
      <c r="AM50" s="246" t="s">
        <v>60</v>
      </c>
      <c r="AN50" s="45"/>
      <c r="AO50" s="44"/>
      <c r="AP50" s="44"/>
      <c r="AQ50" s="39">
        <v>0.03</v>
      </c>
      <c r="AR50" s="234">
        <f>AQ50*AO47</f>
        <v>0</v>
      </c>
      <c r="AS50" s="245" t="s">
        <v>61</v>
      </c>
      <c r="AT50" s="42"/>
      <c r="AU50" s="43"/>
      <c r="AV50" s="43"/>
      <c r="AW50" s="39">
        <v>0.7</v>
      </c>
      <c r="AX50" s="234">
        <f>AW50*AU47</f>
        <v>0</v>
      </c>
      <c r="AY50" s="28"/>
      <c r="AZ50" s="246" t="s">
        <v>60</v>
      </c>
      <c r="BA50" s="45"/>
      <c r="BB50" s="44"/>
      <c r="BC50" s="44"/>
      <c r="BD50" s="39">
        <v>0.03</v>
      </c>
      <c r="BE50" s="234">
        <f>BD50*BB47</f>
        <v>0</v>
      </c>
      <c r="BF50" s="207" t="s">
        <v>23</v>
      </c>
      <c r="BG50" s="14">
        <v>0</v>
      </c>
      <c r="BH50" s="17">
        <f>+BG50*$C50</f>
        <v>0</v>
      </c>
      <c r="BI50" s="207" t="s">
        <v>24</v>
      </c>
      <c r="BJ50" s="16">
        <v>0</v>
      </c>
      <c r="BK50" s="208" t="e">
        <f>+BJ50/AO51</f>
        <v>#DIV/0!</v>
      </c>
      <c r="BL50" s="206"/>
      <c r="BM50" s="14"/>
      <c r="BN50" s="15"/>
      <c r="BO50" s="207"/>
      <c r="BP50" s="18"/>
      <c r="BQ50" s="208"/>
      <c r="BR50" s="206" t="s">
        <v>62</v>
      </c>
      <c r="BS50" s="14"/>
      <c r="BT50" s="15">
        <f>+BS50*P45</f>
        <v>0</v>
      </c>
      <c r="BU50" s="207" t="s">
        <v>24</v>
      </c>
      <c r="BV50" s="18">
        <v>0</v>
      </c>
      <c r="BW50" s="208" t="e">
        <f>+BV50/P46</f>
        <v>#DIV/0!</v>
      </c>
      <c r="BX50" s="207" t="s">
        <v>23</v>
      </c>
      <c r="BY50" s="14">
        <v>0</v>
      </c>
      <c r="BZ50" s="17">
        <f>+BY50*$C50</f>
        <v>0</v>
      </c>
      <c r="CA50" s="207" t="s">
        <v>24</v>
      </c>
      <c r="CB50" s="16">
        <v>0</v>
      </c>
      <c r="CC50" s="208" t="e">
        <f>+CB50/BG51</f>
        <v>#DIV/0!</v>
      </c>
    </row>
    <row r="51" spans="1:81" ht="21" customHeight="1">
      <c r="A51" s="262" t="s">
        <v>94</v>
      </c>
      <c r="B51" s="242"/>
      <c r="C51" s="3"/>
      <c r="D51" s="3"/>
      <c r="E51" s="3"/>
      <c r="F51" s="3"/>
      <c r="G51" s="238"/>
      <c r="H51" s="21" t="s">
        <v>27</v>
      </c>
      <c r="I51" s="212">
        <v>0</v>
      </c>
      <c r="J51" s="213">
        <f>+I51*E45</f>
        <v>0</v>
      </c>
      <c r="K51" s="22" t="s">
        <v>28</v>
      </c>
      <c r="L51" s="214">
        <v>0</v>
      </c>
      <c r="M51" s="215" t="e">
        <f>+L51/E46</f>
        <v>#DIV/0!</v>
      </c>
      <c r="N51" s="244" t="s">
        <v>88</v>
      </c>
      <c r="O51" s="43"/>
      <c r="P51" s="43"/>
      <c r="Q51" s="43"/>
      <c r="R51" s="31">
        <v>0.16700000000000001</v>
      </c>
      <c r="S51" s="233">
        <f t="shared" si="5"/>
        <v>0</v>
      </c>
      <c r="T51" s="244" t="s">
        <v>130</v>
      </c>
      <c r="U51" s="42"/>
      <c r="V51" s="43"/>
      <c r="W51" s="43"/>
      <c r="X51" s="37">
        <v>5.0000000000000001E-3</v>
      </c>
      <c r="Y51" s="234">
        <f>X51*V47</f>
        <v>0</v>
      </c>
      <c r="Z51" s="244"/>
      <c r="AA51" s="42"/>
      <c r="AB51" s="43"/>
      <c r="AC51" s="43"/>
      <c r="AD51" s="37"/>
      <c r="AE51" s="234">
        <f>AD51*AB47</f>
        <v>0</v>
      </c>
      <c r="AF51" s="245"/>
      <c r="AG51" s="42"/>
      <c r="AH51" s="43"/>
      <c r="AI51" s="43"/>
      <c r="AJ51" s="37"/>
      <c r="AK51" s="234">
        <f>AJ51*AH47</f>
        <v>0</v>
      </c>
      <c r="AL51" s="28"/>
      <c r="AM51" s="246" t="s">
        <v>64</v>
      </c>
      <c r="AN51" s="45"/>
      <c r="AO51" s="44"/>
      <c r="AP51" s="44"/>
      <c r="AQ51" s="39">
        <v>3.0000000000000001E-3</v>
      </c>
      <c r="AR51" s="234">
        <f>AQ51*AO47</f>
        <v>0</v>
      </c>
      <c r="AS51" s="245" t="s">
        <v>65</v>
      </c>
      <c r="AT51" s="42"/>
      <c r="AU51" s="43"/>
      <c r="AV51" s="43"/>
      <c r="AW51" s="37">
        <v>0.05</v>
      </c>
      <c r="AX51" s="234">
        <f>AW51*AU47</f>
        <v>0</v>
      </c>
      <c r="AY51" s="28"/>
      <c r="AZ51" s="246" t="s">
        <v>64</v>
      </c>
      <c r="BA51" s="45"/>
      <c r="BB51" s="44"/>
      <c r="BC51" s="44"/>
      <c r="BD51" s="39">
        <v>3.0000000000000001E-3</v>
      </c>
      <c r="BE51" s="234">
        <f>BD51*BB47</f>
        <v>0</v>
      </c>
      <c r="BF51" s="22" t="s">
        <v>27</v>
      </c>
      <c r="BG51" s="216">
        <v>0</v>
      </c>
      <c r="BH51" s="217">
        <f>+BG51*$E50</f>
        <v>0</v>
      </c>
      <c r="BI51" s="22" t="s">
        <v>28</v>
      </c>
      <c r="BJ51" s="214">
        <v>0</v>
      </c>
      <c r="BK51" s="215">
        <f>+BJ51/AQ51</f>
        <v>0</v>
      </c>
      <c r="BL51" s="21"/>
      <c r="BM51" s="212"/>
      <c r="BN51" s="213"/>
      <c r="BO51" s="22"/>
      <c r="BP51" s="221"/>
      <c r="BQ51" s="215"/>
      <c r="BR51" s="21" t="s">
        <v>66</v>
      </c>
      <c r="BS51" s="212">
        <v>0</v>
      </c>
      <c r="BT51" s="213">
        <f>+BS51*R45</f>
        <v>0</v>
      </c>
      <c r="BU51" s="22" t="s">
        <v>28</v>
      </c>
      <c r="BV51" s="221">
        <v>0</v>
      </c>
      <c r="BW51" s="215" t="e">
        <f>+BV51/R46</f>
        <v>#DIV/0!</v>
      </c>
      <c r="BX51" s="22" t="s">
        <v>27</v>
      </c>
      <c r="BY51" s="216">
        <v>0</v>
      </c>
      <c r="BZ51" s="217">
        <f>+BY51*$E50</f>
        <v>0</v>
      </c>
      <c r="CA51" s="22" t="s">
        <v>28</v>
      </c>
      <c r="CB51" s="214">
        <v>0</v>
      </c>
      <c r="CC51" s="215" t="e">
        <f>+CB51/BI51</f>
        <v>#VALUE!</v>
      </c>
    </row>
    <row r="52" spans="1:81" ht="21" customHeight="1">
      <c r="A52" s="262" t="s">
        <v>45</v>
      </c>
      <c r="B52" s="256"/>
      <c r="C52" s="3"/>
      <c r="D52" s="3"/>
      <c r="E52" s="3"/>
      <c r="F52" s="3"/>
      <c r="G52" s="238"/>
      <c r="H52" s="223" t="s">
        <v>31</v>
      </c>
      <c r="I52" s="224" t="e">
        <f>+J52/G45</f>
        <v>#DIV/0!</v>
      </c>
      <c r="J52" s="25">
        <f>SUM(J50:J51)</f>
        <v>0</v>
      </c>
      <c r="K52" s="225" t="s">
        <v>32</v>
      </c>
      <c r="L52" s="226">
        <f>SUM(L50:L51)</f>
        <v>0</v>
      </c>
      <c r="M52" s="227" t="e">
        <f>+L52/G46</f>
        <v>#DIV/0!</v>
      </c>
      <c r="N52" s="244"/>
      <c r="O52" s="42"/>
      <c r="P52" s="43"/>
      <c r="Q52" s="43"/>
      <c r="R52" s="46"/>
      <c r="S52" s="233">
        <f t="shared" si="5"/>
        <v>0</v>
      </c>
      <c r="T52" s="231" t="s">
        <v>131</v>
      </c>
      <c r="U52" s="42"/>
      <c r="V52" s="43"/>
      <c r="W52" s="43"/>
      <c r="X52" s="37">
        <v>1E-3</v>
      </c>
      <c r="Y52" s="234">
        <f>X52*V47</f>
        <v>0</v>
      </c>
      <c r="Z52" s="244"/>
      <c r="AA52" s="42"/>
      <c r="AB52" s="43"/>
      <c r="AC52" s="43"/>
      <c r="AD52" s="37"/>
      <c r="AE52" s="234">
        <f>AD52*AB47</f>
        <v>0</v>
      </c>
      <c r="AF52" s="244"/>
      <c r="AG52" s="42"/>
      <c r="AH52" s="43"/>
      <c r="AI52" s="43"/>
      <c r="AJ52" s="46"/>
      <c r="AK52" s="234">
        <f>AJ52*AH47</f>
        <v>0</v>
      </c>
      <c r="AL52" s="28"/>
      <c r="AM52" s="246" t="s">
        <v>68</v>
      </c>
      <c r="AN52" s="45"/>
      <c r="AO52" s="44"/>
      <c r="AP52" s="44"/>
      <c r="AQ52" s="39">
        <v>0.03</v>
      </c>
      <c r="AR52" s="234">
        <f>AQ52*AO47</f>
        <v>0</v>
      </c>
      <c r="AS52" s="244" t="s">
        <v>69</v>
      </c>
      <c r="AT52" s="42"/>
      <c r="AU52" s="43"/>
      <c r="AV52" s="43"/>
      <c r="AW52" s="46">
        <v>2E-3</v>
      </c>
      <c r="AX52" s="234">
        <f>AW52*AU47</f>
        <v>0</v>
      </c>
      <c r="AY52" s="28"/>
      <c r="AZ52" s="246" t="s">
        <v>68</v>
      </c>
      <c r="BA52" s="45"/>
      <c r="BB52" s="44"/>
      <c r="BC52" s="44"/>
      <c r="BD52" s="39">
        <v>0.03</v>
      </c>
      <c r="BE52" s="234">
        <f>BD52*BB47</f>
        <v>0</v>
      </c>
      <c r="BF52" s="223" t="s">
        <v>31</v>
      </c>
      <c r="BG52" s="224" t="e">
        <f>+BH52/T45</f>
        <v>#VALUE!</v>
      </c>
      <c r="BH52" s="25">
        <f>SUM(BH50:BH51)</f>
        <v>0</v>
      </c>
      <c r="BI52" s="27" t="s">
        <v>31</v>
      </c>
      <c r="BJ52" s="226">
        <f>SUM(BJ50:BJ51)</f>
        <v>0</v>
      </c>
      <c r="BK52" s="227" t="e">
        <f>+BJ52/T46</f>
        <v>#VALUE!</v>
      </c>
      <c r="BL52" s="223"/>
      <c r="BM52" s="224"/>
      <c r="BN52" s="25"/>
      <c r="BO52" s="27"/>
      <c r="BP52" s="225"/>
      <c r="BQ52" s="227"/>
      <c r="BR52" s="223" t="s">
        <v>31</v>
      </c>
      <c r="BS52" s="224" t="e">
        <f>+BT52/T45</f>
        <v>#VALUE!</v>
      </c>
      <c r="BT52" s="25">
        <f>SUM(BT50:BT51)</f>
        <v>0</v>
      </c>
      <c r="BU52" s="27" t="s">
        <v>31</v>
      </c>
      <c r="BV52" s="225">
        <f>SUM(BV50:BV51)</f>
        <v>0</v>
      </c>
      <c r="BW52" s="227" t="e">
        <f>+BV52/T46</f>
        <v>#VALUE!</v>
      </c>
      <c r="BX52" s="223" t="s">
        <v>31</v>
      </c>
      <c r="BY52" s="224" t="e">
        <f>+BZ52/T45</f>
        <v>#VALUE!</v>
      </c>
      <c r="BZ52" s="25">
        <f>SUM(BZ50:BZ51)</f>
        <v>0</v>
      </c>
      <c r="CA52" s="27" t="s">
        <v>31</v>
      </c>
      <c r="CB52" s="226">
        <f>SUM(CB50:CB51)</f>
        <v>0</v>
      </c>
      <c r="CC52" s="227" t="e">
        <f>+CB52/T46</f>
        <v>#VALUE!</v>
      </c>
    </row>
    <row r="53" spans="1:81" ht="21" customHeight="1">
      <c r="A53" s="262" t="s">
        <v>56</v>
      </c>
      <c r="B53" s="242"/>
      <c r="C53" s="3"/>
      <c r="D53" s="3"/>
      <c r="E53" s="3"/>
      <c r="F53" s="3"/>
      <c r="G53" s="238"/>
      <c r="H53" s="228"/>
      <c r="I53" s="29"/>
      <c r="J53" s="29"/>
      <c r="K53" s="236"/>
      <c r="L53" s="229">
        <v>0.16</v>
      </c>
      <c r="M53" s="230">
        <f>+J52*L53</f>
        <v>0</v>
      </c>
      <c r="N53" s="247"/>
      <c r="O53" s="252"/>
      <c r="P53" s="248"/>
      <c r="Q53" s="248"/>
      <c r="R53" s="249"/>
      <c r="S53" s="233">
        <f t="shared" si="5"/>
        <v>0</v>
      </c>
      <c r="T53" s="244"/>
      <c r="U53" s="42"/>
      <c r="V53" s="43"/>
      <c r="W53" s="43"/>
      <c r="X53" s="37"/>
      <c r="Y53" s="234">
        <f>X53*V47</f>
        <v>0</v>
      </c>
      <c r="Z53" s="247"/>
      <c r="AA53" s="248"/>
      <c r="AB53" s="248"/>
      <c r="AC53" s="248"/>
      <c r="AD53" s="249"/>
      <c r="AE53" s="250">
        <f>AD53*AB47</f>
        <v>0</v>
      </c>
      <c r="AF53" s="251"/>
      <c r="AG53" s="47"/>
      <c r="AH53" s="48"/>
      <c r="AI53" s="48"/>
      <c r="AJ53" s="49"/>
      <c r="AK53" s="250">
        <f>AJ53*AH47</f>
        <v>0</v>
      </c>
      <c r="AL53" s="28"/>
      <c r="AM53" s="247" t="s">
        <v>72</v>
      </c>
      <c r="AN53" s="252"/>
      <c r="AO53" s="248"/>
      <c r="AP53" s="248"/>
      <c r="AQ53" s="249">
        <v>0.02</v>
      </c>
      <c r="AR53" s="250">
        <f>AQ53*AO47</f>
        <v>0</v>
      </c>
      <c r="AS53" s="251" t="s">
        <v>73</v>
      </c>
      <c r="AT53" s="47"/>
      <c r="AU53" s="48"/>
      <c r="AV53" s="48"/>
      <c r="AW53" s="49">
        <v>3.0000000000000001E-3</v>
      </c>
      <c r="AX53" s="250">
        <f>AW53*AU47</f>
        <v>0</v>
      </c>
      <c r="AY53" s="28"/>
      <c r="AZ53" s="247" t="s">
        <v>72</v>
      </c>
      <c r="BA53" s="252"/>
      <c r="BB53" s="248"/>
      <c r="BC53" s="248"/>
      <c r="BD53" s="249">
        <v>0.02</v>
      </c>
      <c r="BE53" s="250">
        <f>BD53*BB47</f>
        <v>0</v>
      </c>
      <c r="BF53" s="235" t="s">
        <v>74</v>
      </c>
      <c r="BG53" s="32"/>
      <c r="BH53" s="33"/>
      <c r="BI53" s="33"/>
      <c r="BJ53" s="39">
        <v>0.08</v>
      </c>
      <c r="BK53" s="253">
        <f>+BH52*BJ53</f>
        <v>0</v>
      </c>
      <c r="BL53" s="465"/>
      <c r="BM53" s="461"/>
      <c r="BN53" s="461"/>
      <c r="BO53" s="239"/>
      <c r="BP53" s="240"/>
      <c r="BQ53" s="211"/>
      <c r="BR53" s="465"/>
      <c r="BS53" s="461"/>
      <c r="BT53" s="461"/>
      <c r="BU53" s="239"/>
      <c r="BV53" s="240">
        <f>+BT52*BU53</f>
        <v>0</v>
      </c>
      <c r="BW53" s="211"/>
      <c r="BX53" s="465" t="s">
        <v>75</v>
      </c>
      <c r="BY53" s="461"/>
      <c r="BZ53" s="461"/>
      <c r="CA53" s="239"/>
      <c r="CB53" s="239">
        <v>1</v>
      </c>
      <c r="CC53" s="253">
        <f>+BZ52*CB53</f>
        <v>0</v>
      </c>
    </row>
    <row r="54" spans="1:81" ht="21" customHeight="1">
      <c r="A54" s="11">
        <f>A44+1</f>
        <v>4</v>
      </c>
      <c r="B54" s="440" t="s">
        <v>8</v>
      </c>
      <c r="C54" s="432"/>
      <c r="D54" s="440" t="s">
        <v>9</v>
      </c>
      <c r="E54" s="432"/>
      <c r="F54" s="199" t="s">
        <v>10</v>
      </c>
      <c r="G54" s="200"/>
      <c r="H54" s="441" t="s">
        <v>118</v>
      </c>
      <c r="I54" s="431"/>
      <c r="J54" s="431"/>
      <c r="K54" s="431"/>
      <c r="L54" s="431"/>
      <c r="M54" s="432"/>
      <c r="N54" s="442" t="s">
        <v>132</v>
      </c>
      <c r="O54" s="431"/>
      <c r="P54" s="431"/>
      <c r="Q54" s="431"/>
      <c r="R54" s="431"/>
      <c r="S54" s="432"/>
      <c r="T54" s="443" t="s">
        <v>120</v>
      </c>
      <c r="U54" s="431"/>
      <c r="V54" s="431"/>
      <c r="W54" s="431"/>
      <c r="X54" s="431"/>
      <c r="Y54" s="432"/>
      <c r="Z54" s="430" t="s">
        <v>92</v>
      </c>
      <c r="AA54" s="431"/>
      <c r="AB54" s="431"/>
      <c r="AC54" s="431"/>
      <c r="AD54" s="431"/>
      <c r="AE54" s="432"/>
      <c r="AF54" s="430" t="s">
        <v>122</v>
      </c>
      <c r="AG54" s="431"/>
      <c r="AH54" s="431"/>
      <c r="AI54" s="431"/>
      <c r="AJ54" s="431"/>
      <c r="AK54" s="432"/>
      <c r="AL54" s="12"/>
      <c r="AM54" s="436" t="s">
        <v>16</v>
      </c>
      <c r="AN54" s="431"/>
      <c r="AO54" s="431"/>
      <c r="AP54" s="431"/>
      <c r="AQ54" s="431"/>
      <c r="AR54" s="432"/>
      <c r="AS54" s="430" t="s">
        <v>17</v>
      </c>
      <c r="AT54" s="431"/>
      <c r="AU54" s="431"/>
      <c r="AV54" s="431"/>
      <c r="AW54" s="431"/>
      <c r="AX54" s="432"/>
      <c r="AY54" s="12"/>
      <c r="AZ54" s="436" t="s">
        <v>16</v>
      </c>
      <c r="BA54" s="431"/>
      <c r="BB54" s="431"/>
      <c r="BC54" s="431"/>
      <c r="BD54" s="431"/>
      <c r="BE54" s="432"/>
      <c r="BF54" s="437" t="s">
        <v>18</v>
      </c>
      <c r="BG54" s="431"/>
      <c r="BH54" s="431"/>
      <c r="BI54" s="431"/>
      <c r="BJ54" s="431"/>
      <c r="BK54" s="432"/>
      <c r="BL54" s="438" t="s">
        <v>19</v>
      </c>
      <c r="BM54" s="431"/>
      <c r="BN54" s="431"/>
      <c r="BO54" s="431"/>
      <c r="BP54" s="431"/>
      <c r="BQ54" s="432"/>
      <c r="BR54" s="438" t="s">
        <v>20</v>
      </c>
      <c r="BS54" s="431"/>
      <c r="BT54" s="431"/>
      <c r="BU54" s="431"/>
      <c r="BV54" s="431"/>
      <c r="BW54" s="432"/>
      <c r="BX54" s="437" t="s">
        <v>78</v>
      </c>
      <c r="BY54" s="431"/>
      <c r="BZ54" s="431"/>
      <c r="CA54" s="431"/>
      <c r="CB54" s="431"/>
      <c r="CC54" s="432"/>
    </row>
    <row r="55" spans="1:81" ht="21" customHeight="1">
      <c r="A55" s="202"/>
      <c r="B55" s="203" t="s">
        <v>22</v>
      </c>
      <c r="C55" s="204"/>
      <c r="D55" s="203" t="s">
        <v>22</v>
      </c>
      <c r="E55" s="205"/>
      <c r="F55" s="203" t="s">
        <v>22</v>
      </c>
      <c r="G55" s="13">
        <f t="shared" ref="G55:G56" si="6">+C55+E55</f>
        <v>0</v>
      </c>
      <c r="H55" s="206" t="s">
        <v>23</v>
      </c>
      <c r="I55" s="14">
        <v>0</v>
      </c>
      <c r="J55" s="15">
        <f>+I55*C55</f>
        <v>0</v>
      </c>
      <c r="K55" s="207" t="s">
        <v>24</v>
      </c>
      <c r="L55" s="16">
        <v>0</v>
      </c>
      <c r="M55" s="208" t="e">
        <f>+L55/C56</f>
        <v>#DIV/0!</v>
      </c>
      <c r="N55" s="206" t="s">
        <v>23</v>
      </c>
      <c r="O55" s="14">
        <v>0</v>
      </c>
      <c r="P55" s="17">
        <f>+O55*C55</f>
        <v>0</v>
      </c>
      <c r="Q55" s="207" t="s">
        <v>24</v>
      </c>
      <c r="R55" s="16">
        <v>0</v>
      </c>
      <c r="S55" s="208" t="e">
        <f>+R55/C56</f>
        <v>#DIV/0!</v>
      </c>
      <c r="T55" s="207" t="s">
        <v>23</v>
      </c>
      <c r="U55" s="14">
        <v>0</v>
      </c>
      <c r="V55" s="17">
        <f>+U55*$C55</f>
        <v>0</v>
      </c>
      <c r="W55" s="207" t="s">
        <v>24</v>
      </c>
      <c r="X55" s="16">
        <v>0</v>
      </c>
      <c r="Y55" s="208" t="e">
        <f>+X55/C56</f>
        <v>#DIV/0!</v>
      </c>
      <c r="Z55" s="207" t="s">
        <v>23</v>
      </c>
      <c r="AA55" s="14">
        <v>0</v>
      </c>
      <c r="AB55" s="17">
        <f>+AA55*$C55</f>
        <v>0</v>
      </c>
      <c r="AC55" s="207" t="s">
        <v>24</v>
      </c>
      <c r="AD55" s="18"/>
      <c r="AE55" s="208" t="e">
        <f>+AD55/C56</f>
        <v>#DIV/0!</v>
      </c>
      <c r="AF55" s="206" t="s">
        <v>23</v>
      </c>
      <c r="AG55" s="14">
        <v>0</v>
      </c>
      <c r="AH55" s="17">
        <f>+AG55*C55</f>
        <v>0</v>
      </c>
      <c r="AI55" s="207" t="s">
        <v>24</v>
      </c>
      <c r="AJ55" s="18">
        <v>0</v>
      </c>
      <c r="AK55" s="208" t="e">
        <f>AJ55/C56</f>
        <v>#DIV/0!</v>
      </c>
      <c r="AL55" s="3"/>
      <c r="AM55" s="206" t="s">
        <v>23</v>
      </c>
      <c r="AN55" s="14"/>
      <c r="AO55" s="17">
        <f>+AN55*C55</f>
        <v>0</v>
      </c>
      <c r="AP55" s="207" t="s">
        <v>24</v>
      </c>
      <c r="AQ55" s="18"/>
      <c r="AR55" s="208" t="e">
        <f>+AQ55/C56</f>
        <v>#DIV/0!</v>
      </c>
      <c r="AS55" s="207" t="s">
        <v>23</v>
      </c>
      <c r="AT55" s="14">
        <v>0</v>
      </c>
      <c r="AU55" s="17">
        <f>+AT55*$C55</f>
        <v>0</v>
      </c>
      <c r="AV55" s="207" t="s">
        <v>24</v>
      </c>
      <c r="AW55" s="16">
        <v>0</v>
      </c>
      <c r="AX55" s="208" t="e">
        <f>+AW55/AB56</f>
        <v>#DIV/0!</v>
      </c>
      <c r="AY55" s="3"/>
      <c r="AZ55" s="206" t="s">
        <v>23</v>
      </c>
      <c r="BA55" s="14"/>
      <c r="BB55" s="17">
        <f>+BA55*P55</f>
        <v>0</v>
      </c>
      <c r="BC55" s="207" t="s">
        <v>24</v>
      </c>
      <c r="BD55" s="18"/>
      <c r="BE55" s="208" t="e">
        <f>+BD55/P56</f>
        <v>#DIV/0!</v>
      </c>
      <c r="BF55" s="207" t="s">
        <v>23</v>
      </c>
      <c r="BG55" s="14">
        <v>0</v>
      </c>
      <c r="BH55" s="17">
        <f>+BG55*$C55</f>
        <v>0</v>
      </c>
      <c r="BI55" s="207" t="s">
        <v>24</v>
      </c>
      <c r="BJ55" s="16">
        <v>0</v>
      </c>
      <c r="BK55" s="208" t="e">
        <f>+BJ55/AO56</f>
        <v>#DIV/0!</v>
      </c>
      <c r="BL55" s="206" t="s">
        <v>23</v>
      </c>
      <c r="BM55" s="14"/>
      <c r="BN55" s="15">
        <f>+BM55*P55</f>
        <v>0</v>
      </c>
      <c r="BO55" s="207" t="s">
        <v>24</v>
      </c>
      <c r="BP55" s="18">
        <v>0</v>
      </c>
      <c r="BQ55" s="208" t="e">
        <f>+BP55/P56</f>
        <v>#DIV/0!</v>
      </c>
      <c r="BR55" s="206" t="s">
        <v>23</v>
      </c>
      <c r="BS55" s="14"/>
      <c r="BT55" s="15">
        <f>+BS55*P55</f>
        <v>0</v>
      </c>
      <c r="BU55" s="207" t="s">
        <v>24</v>
      </c>
      <c r="BV55" s="18">
        <v>0</v>
      </c>
      <c r="BW55" s="208" t="e">
        <f>+BV55/P56</f>
        <v>#DIV/0!</v>
      </c>
      <c r="BX55" s="207" t="s">
        <v>23</v>
      </c>
      <c r="BY55" s="14">
        <v>0</v>
      </c>
      <c r="BZ55" s="17">
        <f>+BY55*$C55</f>
        <v>0</v>
      </c>
      <c r="CA55" s="207" t="s">
        <v>24</v>
      </c>
      <c r="CB55" s="16">
        <v>0</v>
      </c>
      <c r="CC55" s="208" t="e">
        <f>+CB55/BG56</f>
        <v>#DIV/0!</v>
      </c>
    </row>
    <row r="56" spans="1:81" ht="21" customHeight="1">
      <c r="A56" s="209" t="s">
        <v>133</v>
      </c>
      <c r="B56" s="210" t="s">
        <v>26</v>
      </c>
      <c r="C56" s="19"/>
      <c r="D56" s="210" t="s">
        <v>26</v>
      </c>
      <c r="E56" s="20"/>
      <c r="F56" s="210" t="s">
        <v>26</v>
      </c>
      <c r="G56" s="211">
        <f t="shared" si="6"/>
        <v>0</v>
      </c>
      <c r="H56" s="21" t="s">
        <v>27</v>
      </c>
      <c r="I56" s="212">
        <v>0</v>
      </c>
      <c r="J56" s="213">
        <f>+E55*I56</f>
        <v>0</v>
      </c>
      <c r="K56" s="22" t="s">
        <v>28</v>
      </c>
      <c r="L56" s="214">
        <v>0</v>
      </c>
      <c r="M56" s="215" t="e">
        <f>+L56/E56</f>
        <v>#DIV/0!</v>
      </c>
      <c r="N56" s="21" t="s">
        <v>27</v>
      </c>
      <c r="O56" s="216">
        <v>0</v>
      </c>
      <c r="P56" s="217">
        <f>+O56*E55</f>
        <v>0</v>
      </c>
      <c r="Q56" s="22" t="s">
        <v>28</v>
      </c>
      <c r="R56" s="214">
        <v>0</v>
      </c>
      <c r="S56" s="215" t="e">
        <f>+R56/E56</f>
        <v>#DIV/0!</v>
      </c>
      <c r="T56" s="22" t="s">
        <v>27</v>
      </c>
      <c r="U56" s="216">
        <v>0</v>
      </c>
      <c r="V56" s="217">
        <f>+U56*$E55</f>
        <v>0</v>
      </c>
      <c r="W56" s="22" t="s">
        <v>28</v>
      </c>
      <c r="X56" s="214">
        <v>0</v>
      </c>
      <c r="Y56" s="215" t="e">
        <f>+X56/E56</f>
        <v>#DIV/0!</v>
      </c>
      <c r="Z56" s="22" t="s">
        <v>27</v>
      </c>
      <c r="AA56" s="218"/>
      <c r="AB56" s="23">
        <f>+E55*AA56</f>
        <v>0</v>
      </c>
      <c r="AC56" s="219" t="s">
        <v>28</v>
      </c>
      <c r="AD56" s="220"/>
      <c r="AE56" s="24" t="e">
        <f>+AD56/E56</f>
        <v>#DIV/0!</v>
      </c>
      <c r="AF56" s="21" t="s">
        <v>27</v>
      </c>
      <c r="AG56" s="216">
        <v>0</v>
      </c>
      <c r="AH56" s="217">
        <f>+AG56*E55</f>
        <v>0</v>
      </c>
      <c r="AI56" s="22" t="s">
        <v>28</v>
      </c>
      <c r="AJ56" s="221">
        <v>0</v>
      </c>
      <c r="AK56" s="215" t="e">
        <f>+AJ56/E56</f>
        <v>#DIV/0!</v>
      </c>
      <c r="AL56" s="3"/>
      <c r="AM56" s="21" t="s">
        <v>27</v>
      </c>
      <c r="AN56" s="216"/>
      <c r="AO56" s="217">
        <f>+AN56*E55</f>
        <v>0</v>
      </c>
      <c r="AP56" s="22" t="s">
        <v>28</v>
      </c>
      <c r="AQ56" s="221"/>
      <c r="AR56" s="215" t="e">
        <f>+AQ56/E56</f>
        <v>#DIV/0!</v>
      </c>
      <c r="AS56" s="22" t="s">
        <v>27</v>
      </c>
      <c r="AT56" s="216">
        <v>0</v>
      </c>
      <c r="AU56" s="217">
        <f>+AT56*$E55</f>
        <v>0</v>
      </c>
      <c r="AV56" s="22" t="s">
        <v>28</v>
      </c>
      <c r="AW56" s="214">
        <v>0</v>
      </c>
      <c r="AX56" s="215" t="e">
        <f>+AW56/AD56</f>
        <v>#DIV/0!</v>
      </c>
      <c r="AY56" s="3"/>
      <c r="AZ56" s="21" t="s">
        <v>27</v>
      </c>
      <c r="BA56" s="216"/>
      <c r="BB56" s="217">
        <f>+BA56*R55</f>
        <v>0</v>
      </c>
      <c r="BC56" s="22" t="s">
        <v>28</v>
      </c>
      <c r="BD56" s="221"/>
      <c r="BE56" s="215" t="e">
        <f>+BD56/R56</f>
        <v>#DIV/0!</v>
      </c>
      <c r="BF56" s="22" t="s">
        <v>27</v>
      </c>
      <c r="BG56" s="216">
        <v>0</v>
      </c>
      <c r="BH56" s="217">
        <f>+BG56*$E55</f>
        <v>0</v>
      </c>
      <c r="BI56" s="22" t="s">
        <v>28</v>
      </c>
      <c r="BJ56" s="214">
        <v>0</v>
      </c>
      <c r="BK56" s="215" t="e">
        <f>+BJ56/AQ56</f>
        <v>#DIV/0!</v>
      </c>
      <c r="BL56" s="21" t="s">
        <v>27</v>
      </c>
      <c r="BM56" s="212">
        <v>0</v>
      </c>
      <c r="BN56" s="213">
        <f>+BM56*R55</f>
        <v>0</v>
      </c>
      <c r="BO56" s="22" t="s">
        <v>28</v>
      </c>
      <c r="BP56" s="221">
        <v>0</v>
      </c>
      <c r="BQ56" s="215" t="e">
        <f>+BP56/R56</f>
        <v>#DIV/0!</v>
      </c>
      <c r="BR56" s="21" t="s">
        <v>27</v>
      </c>
      <c r="BS56" s="212"/>
      <c r="BT56" s="213">
        <f>+BS56*R55</f>
        <v>0</v>
      </c>
      <c r="BU56" s="22" t="s">
        <v>28</v>
      </c>
      <c r="BV56" s="221">
        <v>0</v>
      </c>
      <c r="BW56" s="215" t="e">
        <f>+BV56/R56</f>
        <v>#DIV/0!</v>
      </c>
      <c r="BX56" s="22" t="s">
        <v>27</v>
      </c>
      <c r="BY56" s="216">
        <v>0</v>
      </c>
      <c r="BZ56" s="217">
        <f>+BY56*$E55</f>
        <v>0</v>
      </c>
      <c r="CA56" s="22" t="s">
        <v>28</v>
      </c>
      <c r="CB56" s="214">
        <v>0</v>
      </c>
      <c r="CC56" s="215" t="e">
        <f>+CB56/BI56</f>
        <v>#VALUE!</v>
      </c>
    </row>
    <row r="57" spans="1:81" ht="21" customHeight="1">
      <c r="A57" s="262" t="s">
        <v>80</v>
      </c>
      <c r="B57" s="453" t="s">
        <v>30</v>
      </c>
      <c r="C57" s="454"/>
      <c r="D57" s="455"/>
      <c r="E57" s="456" t="e">
        <f>+(J55+J60+P55+V55+AB55+AH55+AO55++AU55+AU60+BA55+BA60+BG55+BG60+BM55+BM60)/C55</f>
        <v>#DIV/0!</v>
      </c>
      <c r="F57" s="457"/>
      <c r="G57" s="458" t="e">
        <f>+(J57+J62+P57+V57+AB57+AH57+AO57+AU57+AU62+BA57+BA62+BG57+BG62+BM57+BM62)/(G55)</f>
        <v>#VALUE!</v>
      </c>
      <c r="H57" s="223" t="s">
        <v>31</v>
      </c>
      <c r="I57" s="224" t="e">
        <f>+J57/G55</f>
        <v>#DIV/0!</v>
      </c>
      <c r="J57" s="25">
        <f>SUM(J55:J56)</f>
        <v>0</v>
      </c>
      <c r="K57" s="225" t="s">
        <v>32</v>
      </c>
      <c r="L57" s="226">
        <f>SUM(L55:L56)</f>
        <v>0</v>
      </c>
      <c r="M57" s="227" t="e">
        <f>+L57/G56</f>
        <v>#DIV/0!</v>
      </c>
      <c r="N57" s="223" t="s">
        <v>31</v>
      </c>
      <c r="O57" s="224" t="e">
        <f>+P57/F123</f>
        <v>#DIV/0!</v>
      </c>
      <c r="P57" s="26">
        <f>+P55+P56</f>
        <v>0</v>
      </c>
      <c r="Q57" s="27" t="s">
        <v>31</v>
      </c>
      <c r="R57" s="226">
        <f>SUM(R55:R56)</f>
        <v>0</v>
      </c>
      <c r="S57" s="227" t="e">
        <f>+R57/F124</f>
        <v>#DIV/0!</v>
      </c>
      <c r="T57" s="225" t="s">
        <v>31</v>
      </c>
      <c r="U57" s="224" t="e">
        <f>+V57/$G55</f>
        <v>#DIV/0!</v>
      </c>
      <c r="V57" s="26">
        <f>SUM(V55:V56)</f>
        <v>0</v>
      </c>
      <c r="W57" s="27" t="s">
        <v>31</v>
      </c>
      <c r="X57" s="226">
        <f>SUM(X55:X56)</f>
        <v>0</v>
      </c>
      <c r="Y57" s="227" t="e">
        <f>+X57/G56</f>
        <v>#DIV/0!</v>
      </c>
      <c r="Z57" s="225" t="s">
        <v>31</v>
      </c>
      <c r="AA57" s="224" t="e">
        <f>+AB57/$G55</f>
        <v>#DIV/0!</v>
      </c>
      <c r="AB57" s="26">
        <f>+AB55+AB56</f>
        <v>0</v>
      </c>
      <c r="AC57" s="27" t="s">
        <v>31</v>
      </c>
      <c r="AD57" s="225">
        <f>SUM(AD55:AD56)</f>
        <v>0</v>
      </c>
      <c r="AE57" s="227" t="e">
        <f>+AD57/G56</f>
        <v>#DIV/0!</v>
      </c>
      <c r="AF57" s="223" t="s">
        <v>31</v>
      </c>
      <c r="AG57" s="224" t="e">
        <f>+AH57/G55</f>
        <v>#DIV/0!</v>
      </c>
      <c r="AH57" s="26">
        <f>+AH55+AH56</f>
        <v>0</v>
      </c>
      <c r="AI57" s="27" t="s">
        <v>31</v>
      </c>
      <c r="AJ57" s="225">
        <f>SUM(AJ55:AJ56)</f>
        <v>0</v>
      </c>
      <c r="AK57" s="227" t="e">
        <f>+AJ57/G56</f>
        <v>#DIV/0!</v>
      </c>
      <c r="AL57" s="28"/>
      <c r="AM57" s="223" t="s">
        <v>31</v>
      </c>
      <c r="AN57" s="224" t="e">
        <f>+AO57/G55</f>
        <v>#DIV/0!</v>
      </c>
      <c r="AO57" s="26">
        <f>+AO55+AO56</f>
        <v>0</v>
      </c>
      <c r="AP57" s="27" t="s">
        <v>31</v>
      </c>
      <c r="AQ57" s="225">
        <f>SUM(AQ55:AQ56)</f>
        <v>0</v>
      </c>
      <c r="AR57" s="227" t="e">
        <f>+AQ57/G56</f>
        <v>#DIV/0!</v>
      </c>
      <c r="AS57" s="223" t="s">
        <v>31</v>
      </c>
      <c r="AT57" s="224" t="e">
        <f>+AU57/T55</f>
        <v>#VALUE!</v>
      </c>
      <c r="AU57" s="26">
        <f>+AU55+AU56</f>
        <v>0</v>
      </c>
      <c r="AV57" s="27" t="s">
        <v>31</v>
      </c>
      <c r="AW57" s="226">
        <f>SUM(AW55:AW56)</f>
        <v>0</v>
      </c>
      <c r="AX57" s="227" t="e">
        <f>+AW57/T56</f>
        <v>#VALUE!</v>
      </c>
      <c r="AY57" s="28"/>
      <c r="AZ57" s="223" t="s">
        <v>31</v>
      </c>
      <c r="BA57" s="224" t="e">
        <f>+BB57/T55</f>
        <v>#VALUE!</v>
      </c>
      <c r="BB57" s="26">
        <f>+BB55+BB56</f>
        <v>0</v>
      </c>
      <c r="BC57" s="27" t="s">
        <v>31</v>
      </c>
      <c r="BD57" s="225">
        <f>SUM(BD55:BD56)</f>
        <v>0</v>
      </c>
      <c r="BE57" s="227" t="e">
        <f>+BD57/T56</f>
        <v>#VALUE!</v>
      </c>
      <c r="BF57" s="223" t="s">
        <v>31</v>
      </c>
      <c r="BG57" s="224" t="e">
        <f>+BH57/T55</f>
        <v>#VALUE!</v>
      </c>
      <c r="BH57" s="25">
        <f>SUM(BH55:BH56)</f>
        <v>0</v>
      </c>
      <c r="BI57" s="27" t="s">
        <v>31</v>
      </c>
      <c r="BJ57" s="226">
        <f>SUM(BJ55:BJ56)</f>
        <v>0</v>
      </c>
      <c r="BK57" s="227" t="e">
        <f>+BJ57/T56</f>
        <v>#VALUE!</v>
      </c>
      <c r="BL57" s="223" t="s">
        <v>31</v>
      </c>
      <c r="BM57" s="224" t="e">
        <f>+BN57/T55</f>
        <v>#VALUE!</v>
      </c>
      <c r="BN57" s="25">
        <f>SUM(BN55:BN56)</f>
        <v>0</v>
      </c>
      <c r="BO57" s="27" t="s">
        <v>31</v>
      </c>
      <c r="BP57" s="225">
        <f>SUM(BP55:BP56)</f>
        <v>0</v>
      </c>
      <c r="BQ57" s="227" t="e">
        <f>+BP57/T56</f>
        <v>#VALUE!</v>
      </c>
      <c r="BR57" s="223" t="s">
        <v>31</v>
      </c>
      <c r="BS57" s="224" t="e">
        <f>+BT57/T55</f>
        <v>#VALUE!</v>
      </c>
      <c r="BT57" s="25">
        <f>SUM(BT55:BT56)</f>
        <v>0</v>
      </c>
      <c r="BU57" s="27" t="s">
        <v>31</v>
      </c>
      <c r="BV57" s="225">
        <f>SUM(BV55:BV56)</f>
        <v>0</v>
      </c>
      <c r="BW57" s="227" t="e">
        <f>+BV57/T56</f>
        <v>#VALUE!</v>
      </c>
      <c r="BX57" s="223" t="s">
        <v>31</v>
      </c>
      <c r="BY57" s="224" t="e">
        <f>+BZ57/T55</f>
        <v>#VALUE!</v>
      </c>
      <c r="BZ57" s="25">
        <f>SUM(BZ55:BZ56)</f>
        <v>0</v>
      </c>
      <c r="CA57" s="27" t="s">
        <v>31</v>
      </c>
      <c r="CB57" s="226">
        <f>SUM(CB55:CB56)</f>
        <v>0</v>
      </c>
      <c r="CC57" s="227" t="e">
        <f>+CB57/T56</f>
        <v>#VALUE!</v>
      </c>
    </row>
    <row r="58" spans="1:81" ht="21" customHeight="1">
      <c r="A58" s="262" t="s">
        <v>79</v>
      </c>
      <c r="B58" s="460" t="s">
        <v>34</v>
      </c>
      <c r="C58" s="461"/>
      <c r="D58" s="462"/>
      <c r="E58" s="463" t="e">
        <f>+(J56+J61+P56+V56+AB56+AH56+AO56+AU56+AU61+BA56+BA61+BG56+BG61+BM56+BM61)/E55</f>
        <v>#DIV/0!</v>
      </c>
      <c r="F58" s="464"/>
      <c r="G58" s="459"/>
      <c r="H58" s="228" t="s">
        <v>35</v>
      </c>
      <c r="I58" s="29"/>
      <c r="J58" s="29"/>
      <c r="K58" s="3"/>
      <c r="L58" s="229">
        <v>0.18</v>
      </c>
      <c r="M58" s="230">
        <f>+L58*J57</f>
        <v>0</v>
      </c>
      <c r="N58" s="244" t="s">
        <v>134</v>
      </c>
      <c r="O58" s="232"/>
      <c r="P58" s="232"/>
      <c r="Q58" s="31"/>
      <c r="R58" s="31">
        <v>7.0000000000000007E-2</v>
      </c>
      <c r="S58" s="233">
        <f>R58*P57</f>
        <v>0</v>
      </c>
      <c r="T58" s="231" t="s">
        <v>37</v>
      </c>
      <c r="U58" s="232"/>
      <c r="V58" s="232"/>
      <c r="W58" s="31"/>
      <c r="X58" s="31">
        <v>0.15</v>
      </c>
      <c r="Y58" s="234">
        <f>X58*V57</f>
        <v>0</v>
      </c>
      <c r="Z58" s="244" t="s">
        <v>97</v>
      </c>
      <c r="AA58" s="232"/>
      <c r="AB58" s="232"/>
      <c r="AC58" s="31"/>
      <c r="AD58" s="31">
        <v>0.13</v>
      </c>
      <c r="AE58" s="234">
        <f>AD58*AB57</f>
        <v>0</v>
      </c>
      <c r="AF58" s="231" t="s">
        <v>39</v>
      </c>
      <c r="AG58" s="35"/>
      <c r="AH58" s="36"/>
      <c r="AI58" s="36"/>
      <c r="AJ58" s="37">
        <v>7.4999999999999997E-2</v>
      </c>
      <c r="AK58" s="234">
        <f>AJ58*AH57</f>
        <v>0</v>
      </c>
      <c r="AL58" s="38"/>
      <c r="AM58" s="235" t="s">
        <v>40</v>
      </c>
      <c r="AN58" s="32"/>
      <c r="AO58" s="33"/>
      <c r="AP58" s="33"/>
      <c r="AQ58" s="39">
        <v>1</v>
      </c>
      <c r="AR58" s="234">
        <f>AQ58*AO57</f>
        <v>0</v>
      </c>
      <c r="AS58" s="231" t="s">
        <v>41</v>
      </c>
      <c r="AT58" s="35"/>
      <c r="AU58" s="36"/>
      <c r="AV58" s="36"/>
      <c r="AW58" s="37">
        <v>0.83</v>
      </c>
      <c r="AX58" s="234">
        <f>AW58*AU57</f>
        <v>0</v>
      </c>
      <c r="AY58" s="38"/>
      <c r="AZ58" s="235" t="s">
        <v>40</v>
      </c>
      <c r="BA58" s="32"/>
      <c r="BB58" s="33"/>
      <c r="BC58" s="33"/>
      <c r="BD58" s="39">
        <v>1</v>
      </c>
      <c r="BE58" s="234">
        <f>BD58*BB57</f>
        <v>0</v>
      </c>
      <c r="BF58" s="465" t="s">
        <v>42</v>
      </c>
      <c r="BG58" s="461"/>
      <c r="BH58" s="461"/>
      <c r="BI58" s="236"/>
      <c r="BJ58" s="237">
        <v>0.1</v>
      </c>
      <c r="BK58" s="230">
        <f>+BJ58*BH57</f>
        <v>0</v>
      </c>
      <c r="BL58" s="465"/>
      <c r="BM58" s="461"/>
      <c r="BN58" s="461"/>
      <c r="BO58" s="40"/>
      <c r="BP58" s="41">
        <f>+BN57*BO58</f>
        <v>0</v>
      </c>
      <c r="BQ58" s="238"/>
      <c r="BR58" s="465" t="s">
        <v>43</v>
      </c>
      <c r="BS58" s="461"/>
      <c r="BT58" s="461"/>
      <c r="BU58" s="239">
        <v>0.1</v>
      </c>
      <c r="BV58" s="240">
        <f>+BT57*BU58</f>
        <v>0</v>
      </c>
      <c r="BW58" s="211"/>
      <c r="BX58" s="465" t="s">
        <v>44</v>
      </c>
      <c r="BY58" s="461"/>
      <c r="BZ58" s="461"/>
      <c r="CA58" s="3"/>
      <c r="CB58" s="40">
        <v>0.09</v>
      </c>
      <c r="CC58" s="241">
        <f>+BZ57*CB58</f>
        <v>0</v>
      </c>
    </row>
    <row r="59" spans="1:81" ht="21" customHeight="1">
      <c r="A59" s="262" t="s">
        <v>94</v>
      </c>
      <c r="B59" s="453" t="s">
        <v>46</v>
      </c>
      <c r="C59" s="454"/>
      <c r="D59" s="455"/>
      <c r="E59" s="466" t="e">
        <f>+(L57+L62+R57+X57+AD57+AJ57+AQ57+AW57+AW62+BC57+BC62+BI57+BI62+BO57+BO62)/G56</f>
        <v>#VALUE!</v>
      </c>
      <c r="F59" s="467"/>
      <c r="G59" s="468"/>
      <c r="H59" s="441" t="s">
        <v>47</v>
      </c>
      <c r="I59" s="431"/>
      <c r="J59" s="431"/>
      <c r="K59" s="431"/>
      <c r="L59" s="431"/>
      <c r="M59" s="432"/>
      <c r="N59" s="231" t="s">
        <v>135</v>
      </c>
      <c r="O59" s="35"/>
      <c r="P59" s="36"/>
      <c r="Q59" s="36"/>
      <c r="R59" s="37">
        <v>1.4999999999999999E-2</v>
      </c>
      <c r="S59" s="233">
        <f>R59*P57</f>
        <v>0</v>
      </c>
      <c r="T59" s="231" t="s">
        <v>127</v>
      </c>
      <c r="U59" s="35"/>
      <c r="V59" s="36"/>
      <c r="W59" s="36"/>
      <c r="X59" s="37">
        <v>5.0000000000000001E-3</v>
      </c>
      <c r="Y59" s="234">
        <f>X59*V57</f>
        <v>0</v>
      </c>
      <c r="Z59" s="244" t="s">
        <v>100</v>
      </c>
      <c r="AA59" s="36"/>
      <c r="AB59" s="36"/>
      <c r="AC59" s="36"/>
      <c r="AD59" s="31">
        <v>0.05</v>
      </c>
      <c r="AE59" s="234">
        <f>AD59*AB57</f>
        <v>0</v>
      </c>
      <c r="AF59" s="231" t="s">
        <v>128</v>
      </c>
      <c r="AG59" s="35"/>
      <c r="AH59" s="36"/>
      <c r="AI59" s="36"/>
      <c r="AJ59" s="37">
        <v>5.0000000000000001E-3</v>
      </c>
      <c r="AK59" s="234">
        <f>AJ59*AH57</f>
        <v>0</v>
      </c>
      <c r="AL59" s="28"/>
      <c r="AM59" s="235" t="s">
        <v>52</v>
      </c>
      <c r="AN59" s="32"/>
      <c r="AO59" s="33"/>
      <c r="AP59" s="33"/>
      <c r="AQ59" s="39">
        <v>0.125</v>
      </c>
      <c r="AR59" s="234">
        <f>AQ59*AO57</f>
        <v>0</v>
      </c>
      <c r="AS59" s="231" t="s">
        <v>53</v>
      </c>
      <c r="AT59" s="35"/>
      <c r="AU59" s="36"/>
      <c r="AV59" s="36"/>
      <c r="AW59" s="37">
        <v>0.13</v>
      </c>
      <c r="AX59" s="234">
        <f>AW59*AU57</f>
        <v>0</v>
      </c>
      <c r="AY59" s="28"/>
      <c r="AZ59" s="235" t="s">
        <v>52</v>
      </c>
      <c r="BA59" s="32"/>
      <c r="BB59" s="33"/>
      <c r="BC59" s="33"/>
      <c r="BD59" s="39">
        <v>0.125</v>
      </c>
      <c r="BE59" s="234">
        <f>BD59*BB57</f>
        <v>0</v>
      </c>
      <c r="BF59" s="437" t="s">
        <v>54</v>
      </c>
      <c r="BG59" s="431"/>
      <c r="BH59" s="431"/>
      <c r="BI59" s="431"/>
      <c r="BJ59" s="431"/>
      <c r="BK59" s="432"/>
      <c r="BL59" s="438"/>
      <c r="BM59" s="431"/>
      <c r="BN59" s="431"/>
      <c r="BO59" s="431"/>
      <c r="BP59" s="431"/>
      <c r="BQ59" s="432"/>
      <c r="BR59" s="438"/>
      <c r="BS59" s="431"/>
      <c r="BT59" s="431"/>
      <c r="BU59" s="431"/>
      <c r="BV59" s="431"/>
      <c r="BW59" s="432"/>
      <c r="BX59" s="437" t="s">
        <v>55</v>
      </c>
      <c r="BY59" s="431"/>
      <c r="BZ59" s="431"/>
      <c r="CA59" s="431"/>
      <c r="CB59" s="431"/>
      <c r="CC59" s="432"/>
    </row>
    <row r="60" spans="1:81" ht="21" customHeight="1">
      <c r="A60" s="262" t="s">
        <v>45</v>
      </c>
      <c r="B60" s="469"/>
      <c r="C60" s="454"/>
      <c r="D60" s="454"/>
      <c r="E60" s="454"/>
      <c r="F60" s="454"/>
      <c r="G60" s="457"/>
      <c r="H60" s="206" t="s">
        <v>23</v>
      </c>
      <c r="I60" s="14">
        <v>0</v>
      </c>
      <c r="J60" s="15">
        <f>+I60*C55</f>
        <v>0</v>
      </c>
      <c r="K60" s="207" t="s">
        <v>24</v>
      </c>
      <c r="L60" s="16">
        <v>0</v>
      </c>
      <c r="M60" s="208" t="e">
        <f>+L60/C56</f>
        <v>#DIV/0!</v>
      </c>
      <c r="N60" s="244" t="s">
        <v>136</v>
      </c>
      <c r="O60" s="42"/>
      <c r="P60" s="43"/>
      <c r="Q60" s="43"/>
      <c r="R60" s="37">
        <v>5.0000000000000001E-3</v>
      </c>
      <c r="S60" s="233">
        <f>R60*P57</f>
        <v>0</v>
      </c>
      <c r="T60" s="244" t="s">
        <v>129</v>
      </c>
      <c r="U60" s="42"/>
      <c r="V60" s="43"/>
      <c r="W60" s="43"/>
      <c r="X60" s="37">
        <v>3.0000000000000001E-3</v>
      </c>
      <c r="Y60" s="234">
        <f>X60*V57</f>
        <v>0</v>
      </c>
      <c r="Z60" s="244" t="s">
        <v>103</v>
      </c>
      <c r="AA60" s="43"/>
      <c r="AB60" s="43"/>
      <c r="AC60" s="43"/>
      <c r="AD60" s="31">
        <v>0.05</v>
      </c>
      <c r="AE60" s="234">
        <f>AD60*AB57</f>
        <v>0</v>
      </c>
      <c r="AF60" s="245"/>
      <c r="AG60" s="42"/>
      <c r="AH60" s="43"/>
      <c r="AI60" s="43"/>
      <c r="AJ60" s="39"/>
      <c r="AK60" s="234">
        <f>AJ60*AH57</f>
        <v>0</v>
      </c>
      <c r="AL60" s="28"/>
      <c r="AM60" s="246" t="s">
        <v>60</v>
      </c>
      <c r="AN60" s="45"/>
      <c r="AO60" s="44"/>
      <c r="AP60" s="44"/>
      <c r="AQ60" s="39">
        <v>0.03</v>
      </c>
      <c r="AR60" s="234">
        <f>AQ60*AO57</f>
        <v>0</v>
      </c>
      <c r="AS60" s="245" t="s">
        <v>61</v>
      </c>
      <c r="AT60" s="42"/>
      <c r="AU60" s="43"/>
      <c r="AV60" s="43"/>
      <c r="AW60" s="39">
        <v>0.7</v>
      </c>
      <c r="AX60" s="234">
        <f>AW60*AU57</f>
        <v>0</v>
      </c>
      <c r="AY60" s="28"/>
      <c r="AZ60" s="246" t="s">
        <v>60</v>
      </c>
      <c r="BA60" s="45"/>
      <c r="BB60" s="44"/>
      <c r="BC60" s="44"/>
      <c r="BD60" s="39">
        <v>0.03</v>
      </c>
      <c r="BE60" s="234">
        <f>BD60*BB57</f>
        <v>0</v>
      </c>
      <c r="BF60" s="207" t="s">
        <v>23</v>
      </c>
      <c r="BG60" s="14">
        <v>0</v>
      </c>
      <c r="BH60" s="17">
        <f>+BG60*$C60</f>
        <v>0</v>
      </c>
      <c r="BI60" s="207" t="s">
        <v>24</v>
      </c>
      <c r="BJ60" s="16">
        <v>0</v>
      </c>
      <c r="BK60" s="208" t="e">
        <f>+BJ60/AO61</f>
        <v>#DIV/0!</v>
      </c>
      <c r="BL60" s="206"/>
      <c r="BM60" s="14"/>
      <c r="BN60" s="15"/>
      <c r="BO60" s="207"/>
      <c r="BP60" s="18"/>
      <c r="BQ60" s="208"/>
      <c r="BR60" s="206" t="s">
        <v>62</v>
      </c>
      <c r="BS60" s="14"/>
      <c r="BT60" s="15">
        <f>+BS60*P55</f>
        <v>0</v>
      </c>
      <c r="BU60" s="207" t="s">
        <v>24</v>
      </c>
      <c r="BV60" s="18">
        <v>0</v>
      </c>
      <c r="BW60" s="208" t="e">
        <f>+BV60/P56</f>
        <v>#DIV/0!</v>
      </c>
      <c r="BX60" s="207" t="s">
        <v>23</v>
      </c>
      <c r="BY60" s="14">
        <v>0</v>
      </c>
      <c r="BZ60" s="17">
        <f>+BY60*$C60</f>
        <v>0</v>
      </c>
      <c r="CA60" s="207" t="s">
        <v>24</v>
      </c>
      <c r="CB60" s="16">
        <v>0</v>
      </c>
      <c r="CC60" s="208" t="e">
        <f>+CB60/BG61</f>
        <v>#DIV/0!</v>
      </c>
    </row>
    <row r="61" spans="1:81" ht="21" customHeight="1">
      <c r="A61" s="262" t="s">
        <v>56</v>
      </c>
      <c r="B61" s="242"/>
      <c r="C61" s="51"/>
      <c r="D61" s="51"/>
      <c r="E61" s="51"/>
      <c r="F61" s="51"/>
      <c r="G61" s="263"/>
      <c r="H61" s="21" t="s">
        <v>27</v>
      </c>
      <c r="I61" s="212">
        <v>0</v>
      </c>
      <c r="J61" s="213">
        <f>+I61*E55</f>
        <v>0</v>
      </c>
      <c r="K61" s="22" t="s">
        <v>28</v>
      </c>
      <c r="L61" s="214">
        <v>0</v>
      </c>
      <c r="M61" s="215" t="e">
        <f>+L61/E56</f>
        <v>#DIV/0!</v>
      </c>
      <c r="N61" s="244" t="s">
        <v>137</v>
      </c>
      <c r="O61" s="42"/>
      <c r="P61" s="43"/>
      <c r="Q61" s="43"/>
      <c r="R61" s="37">
        <v>2.5000000000000001E-2</v>
      </c>
      <c r="S61" s="233">
        <f>R61*P57</f>
        <v>0</v>
      </c>
      <c r="T61" s="244" t="s">
        <v>130</v>
      </c>
      <c r="U61" s="42"/>
      <c r="V61" s="43"/>
      <c r="W61" s="43"/>
      <c r="X61" s="37">
        <v>5.0000000000000001E-3</v>
      </c>
      <c r="Y61" s="234">
        <f>X61*V57</f>
        <v>0</v>
      </c>
      <c r="Z61" s="244" t="s">
        <v>106</v>
      </c>
      <c r="AA61" s="43"/>
      <c r="AB61" s="43"/>
      <c r="AC61" s="43"/>
      <c r="AD61" s="31">
        <v>0.25</v>
      </c>
      <c r="AE61" s="234">
        <f>AD61*AB57</f>
        <v>0</v>
      </c>
      <c r="AF61" s="245"/>
      <c r="AG61" s="42"/>
      <c r="AH61" s="43"/>
      <c r="AI61" s="43"/>
      <c r="AJ61" s="37"/>
      <c r="AK61" s="234">
        <f>AJ61*AH57</f>
        <v>0</v>
      </c>
      <c r="AL61" s="28"/>
      <c r="AM61" s="246" t="s">
        <v>64</v>
      </c>
      <c r="AN61" s="45"/>
      <c r="AO61" s="44"/>
      <c r="AP61" s="44"/>
      <c r="AQ61" s="39">
        <v>3.0000000000000001E-3</v>
      </c>
      <c r="AR61" s="234">
        <f>AQ61*AO57</f>
        <v>0</v>
      </c>
      <c r="AS61" s="245" t="s">
        <v>65</v>
      </c>
      <c r="AT61" s="42"/>
      <c r="AU61" s="43"/>
      <c r="AV61" s="43"/>
      <c r="AW61" s="37">
        <v>0.05</v>
      </c>
      <c r="AX61" s="234">
        <f>AW61*AU57</f>
        <v>0</v>
      </c>
      <c r="AY61" s="28"/>
      <c r="AZ61" s="246" t="s">
        <v>64</v>
      </c>
      <c r="BA61" s="45"/>
      <c r="BB61" s="44"/>
      <c r="BC61" s="44"/>
      <c r="BD61" s="39">
        <v>3.0000000000000001E-3</v>
      </c>
      <c r="BE61" s="234">
        <f>BD61*BB57</f>
        <v>0</v>
      </c>
      <c r="BF61" s="22" t="s">
        <v>27</v>
      </c>
      <c r="BG61" s="216">
        <v>0</v>
      </c>
      <c r="BH61" s="217">
        <f>+BG61*$E60</f>
        <v>0</v>
      </c>
      <c r="BI61" s="22" t="s">
        <v>28</v>
      </c>
      <c r="BJ61" s="214">
        <v>0</v>
      </c>
      <c r="BK61" s="215">
        <f>+BJ61/AQ61</f>
        <v>0</v>
      </c>
      <c r="BL61" s="21"/>
      <c r="BM61" s="212"/>
      <c r="BN61" s="213"/>
      <c r="BO61" s="22"/>
      <c r="BP61" s="221"/>
      <c r="BQ61" s="215"/>
      <c r="BR61" s="21" t="s">
        <v>66</v>
      </c>
      <c r="BS61" s="212">
        <v>0</v>
      </c>
      <c r="BT61" s="213">
        <f>+BS61*R55</f>
        <v>0</v>
      </c>
      <c r="BU61" s="22" t="s">
        <v>28</v>
      </c>
      <c r="BV61" s="221">
        <v>0</v>
      </c>
      <c r="BW61" s="215" t="e">
        <f>+BV61/R56</f>
        <v>#DIV/0!</v>
      </c>
      <c r="BX61" s="22" t="s">
        <v>27</v>
      </c>
      <c r="BY61" s="216">
        <v>0</v>
      </c>
      <c r="BZ61" s="217">
        <f>+BY61*$E60</f>
        <v>0</v>
      </c>
      <c r="CA61" s="22" t="s">
        <v>28</v>
      </c>
      <c r="CB61" s="214">
        <v>0</v>
      </c>
      <c r="CC61" s="215" t="e">
        <f>+CB61/BI61</f>
        <v>#VALUE!</v>
      </c>
    </row>
    <row r="62" spans="1:81" ht="21" customHeight="1">
      <c r="A62" s="262"/>
      <c r="B62" s="256"/>
      <c r="C62" s="51"/>
      <c r="D62" s="51"/>
      <c r="E62" s="51"/>
      <c r="F62" s="51"/>
      <c r="G62" s="263"/>
      <c r="H62" s="223" t="s">
        <v>31</v>
      </c>
      <c r="I62" s="224" t="e">
        <f>+J62/G55</f>
        <v>#DIV/0!</v>
      </c>
      <c r="J62" s="25">
        <f>SUM(J60:J61)</f>
        <v>0</v>
      </c>
      <c r="K62" s="225" t="s">
        <v>32</v>
      </c>
      <c r="L62" s="226">
        <f>SUM(L60:L61)</f>
        <v>0</v>
      </c>
      <c r="M62" s="227" t="e">
        <f>+L62/G56</f>
        <v>#DIV/0!</v>
      </c>
      <c r="N62" s="244"/>
      <c r="O62" s="42"/>
      <c r="P62" s="43"/>
      <c r="Q62" s="43"/>
      <c r="R62" s="37"/>
      <c r="S62" s="233">
        <f>R62*P57</f>
        <v>0</v>
      </c>
      <c r="T62" s="231" t="s">
        <v>131</v>
      </c>
      <c r="U62" s="42"/>
      <c r="V62" s="43"/>
      <c r="W62" s="43"/>
      <c r="X62" s="37">
        <v>1E-3</v>
      </c>
      <c r="Y62" s="234">
        <f>X62*V57</f>
        <v>0</v>
      </c>
      <c r="Z62" s="244"/>
      <c r="AA62" s="42"/>
      <c r="AB62" s="43"/>
      <c r="AC62" s="43"/>
      <c r="AD62" s="46"/>
      <c r="AE62" s="234">
        <f>AD62*AB57</f>
        <v>0</v>
      </c>
      <c r="AF62" s="244"/>
      <c r="AG62" s="42"/>
      <c r="AH62" s="43"/>
      <c r="AI62" s="43"/>
      <c r="AJ62" s="46"/>
      <c r="AK62" s="234">
        <f>AJ62*AH57</f>
        <v>0</v>
      </c>
      <c r="AL62" s="28"/>
      <c r="AM62" s="246" t="s">
        <v>68</v>
      </c>
      <c r="AN62" s="45"/>
      <c r="AO62" s="44"/>
      <c r="AP62" s="44"/>
      <c r="AQ62" s="39">
        <v>0.03</v>
      </c>
      <c r="AR62" s="234">
        <f>AQ62*AO57</f>
        <v>0</v>
      </c>
      <c r="AS62" s="244" t="s">
        <v>69</v>
      </c>
      <c r="AT62" s="42"/>
      <c r="AU62" s="43"/>
      <c r="AV62" s="43"/>
      <c r="AW62" s="46">
        <v>2E-3</v>
      </c>
      <c r="AX62" s="234">
        <f>AW62*AU57</f>
        <v>0</v>
      </c>
      <c r="AY62" s="28"/>
      <c r="AZ62" s="246" t="s">
        <v>68</v>
      </c>
      <c r="BA62" s="45"/>
      <c r="BB62" s="44"/>
      <c r="BC62" s="44"/>
      <c r="BD62" s="39">
        <v>0.03</v>
      </c>
      <c r="BE62" s="234">
        <f>BD62*BB57</f>
        <v>0</v>
      </c>
      <c r="BF62" s="223" t="s">
        <v>31</v>
      </c>
      <c r="BG62" s="224" t="e">
        <f>+BH62/T55</f>
        <v>#VALUE!</v>
      </c>
      <c r="BH62" s="25">
        <f>SUM(BH60:BH61)</f>
        <v>0</v>
      </c>
      <c r="BI62" s="27" t="s">
        <v>31</v>
      </c>
      <c r="BJ62" s="226">
        <f>SUM(BJ60:BJ61)</f>
        <v>0</v>
      </c>
      <c r="BK62" s="227" t="e">
        <f>+BJ62/T56</f>
        <v>#VALUE!</v>
      </c>
      <c r="BL62" s="223"/>
      <c r="BM62" s="224"/>
      <c r="BN62" s="25"/>
      <c r="BO62" s="27"/>
      <c r="BP62" s="225"/>
      <c r="BQ62" s="227"/>
      <c r="BR62" s="223" t="s">
        <v>31</v>
      </c>
      <c r="BS62" s="224" t="e">
        <f>+BT62/T55</f>
        <v>#VALUE!</v>
      </c>
      <c r="BT62" s="25">
        <f>SUM(BT60:BT61)</f>
        <v>0</v>
      </c>
      <c r="BU62" s="27" t="s">
        <v>31</v>
      </c>
      <c r="BV62" s="225">
        <f>SUM(BV60:BV61)</f>
        <v>0</v>
      </c>
      <c r="BW62" s="227" t="e">
        <f>+BV62/T56</f>
        <v>#VALUE!</v>
      </c>
      <c r="BX62" s="223" t="s">
        <v>31</v>
      </c>
      <c r="BY62" s="224" t="e">
        <f>+BZ62/T55</f>
        <v>#VALUE!</v>
      </c>
      <c r="BZ62" s="25">
        <f>SUM(BZ60:BZ61)</f>
        <v>0</v>
      </c>
      <c r="CA62" s="27" t="s">
        <v>31</v>
      </c>
      <c r="CB62" s="226">
        <f>SUM(CB60:CB61)</f>
        <v>0</v>
      </c>
      <c r="CC62" s="227" t="e">
        <f>+CB62/T56</f>
        <v>#VALUE!</v>
      </c>
    </row>
    <row r="63" spans="1:81" ht="21" customHeight="1">
      <c r="A63" s="53"/>
      <c r="B63" s="242"/>
      <c r="C63" s="51"/>
      <c r="D63" s="51"/>
      <c r="E63" s="51"/>
      <c r="F63" s="51"/>
      <c r="G63" s="263"/>
      <c r="H63" s="228"/>
      <c r="I63" s="29"/>
      <c r="J63" s="29"/>
      <c r="K63" s="236"/>
      <c r="L63" s="229">
        <v>0.16</v>
      </c>
      <c r="M63" s="230">
        <f>+J62*L63</f>
        <v>0</v>
      </c>
      <c r="N63" s="257"/>
      <c r="O63" s="258"/>
      <c r="P63" s="259"/>
      <c r="Q63" s="259"/>
      <c r="R63" s="260"/>
      <c r="S63" s="261">
        <f>R63*P57</f>
        <v>0</v>
      </c>
      <c r="T63" s="244"/>
      <c r="U63" s="42"/>
      <c r="V63" s="43"/>
      <c r="W63" s="43"/>
      <c r="X63" s="37"/>
      <c r="Y63" s="234">
        <f>X63*V57</f>
        <v>0</v>
      </c>
      <c r="Z63" s="247"/>
      <c r="AA63" s="252"/>
      <c r="AB63" s="248"/>
      <c r="AC63" s="248"/>
      <c r="AD63" s="249"/>
      <c r="AE63" s="250">
        <f>AD63*AB57</f>
        <v>0</v>
      </c>
      <c r="AF63" s="251"/>
      <c r="AG63" s="47"/>
      <c r="AH63" s="48"/>
      <c r="AI63" s="48"/>
      <c r="AJ63" s="49"/>
      <c r="AK63" s="250">
        <f>AJ63*AH57</f>
        <v>0</v>
      </c>
      <c r="AL63" s="28"/>
      <c r="AM63" s="247" t="s">
        <v>72</v>
      </c>
      <c r="AN63" s="252"/>
      <c r="AO63" s="248"/>
      <c r="AP63" s="248"/>
      <c r="AQ63" s="249">
        <v>0.02</v>
      </c>
      <c r="AR63" s="250">
        <f>AQ63*AO57</f>
        <v>0</v>
      </c>
      <c r="AS63" s="251" t="s">
        <v>73</v>
      </c>
      <c r="AT63" s="47"/>
      <c r="AU63" s="48"/>
      <c r="AV63" s="48"/>
      <c r="AW63" s="49">
        <v>3.0000000000000001E-3</v>
      </c>
      <c r="AX63" s="250">
        <f>AW63*AU57</f>
        <v>0</v>
      </c>
      <c r="AY63" s="28"/>
      <c r="AZ63" s="247" t="s">
        <v>72</v>
      </c>
      <c r="BA63" s="252"/>
      <c r="BB63" s="248"/>
      <c r="BC63" s="248"/>
      <c r="BD63" s="249">
        <v>0.02</v>
      </c>
      <c r="BE63" s="250">
        <f>BD63*BB57</f>
        <v>0</v>
      </c>
      <c r="BF63" s="235" t="s">
        <v>74</v>
      </c>
      <c r="BG63" s="32"/>
      <c r="BH63" s="33"/>
      <c r="BI63" s="33"/>
      <c r="BJ63" s="39">
        <v>0.08</v>
      </c>
      <c r="BK63" s="253">
        <f>+BH62*BJ63</f>
        <v>0</v>
      </c>
      <c r="BL63" s="465"/>
      <c r="BM63" s="461"/>
      <c r="BN63" s="461"/>
      <c r="BO63" s="239"/>
      <c r="BP63" s="240"/>
      <c r="BQ63" s="211"/>
      <c r="BR63" s="465"/>
      <c r="BS63" s="461"/>
      <c r="BT63" s="461"/>
      <c r="BU63" s="239"/>
      <c r="BV63" s="240">
        <f>+BT62*BU63</f>
        <v>0</v>
      </c>
      <c r="BW63" s="211"/>
      <c r="BX63" s="465" t="s">
        <v>75</v>
      </c>
      <c r="BY63" s="461"/>
      <c r="BZ63" s="461"/>
      <c r="CA63" s="239"/>
      <c r="CB63" s="239">
        <v>1</v>
      </c>
      <c r="CC63" s="253">
        <f>+BZ62*CB63</f>
        <v>0</v>
      </c>
    </row>
    <row r="64" spans="1:81" ht="21" customHeight="1">
      <c r="A64" s="11">
        <f>A54+1</f>
        <v>5</v>
      </c>
      <c r="B64" s="440" t="s">
        <v>8</v>
      </c>
      <c r="C64" s="432"/>
      <c r="D64" s="440" t="s">
        <v>9</v>
      </c>
      <c r="E64" s="432"/>
      <c r="F64" s="199" t="s">
        <v>10</v>
      </c>
      <c r="G64" s="200"/>
      <c r="H64" s="441" t="s">
        <v>118</v>
      </c>
      <c r="I64" s="431"/>
      <c r="J64" s="431"/>
      <c r="K64" s="431"/>
      <c r="L64" s="431"/>
      <c r="M64" s="432"/>
      <c r="N64" s="442" t="s">
        <v>132</v>
      </c>
      <c r="O64" s="431"/>
      <c r="P64" s="431"/>
      <c r="Q64" s="431"/>
      <c r="R64" s="431"/>
      <c r="S64" s="432"/>
      <c r="T64" s="443" t="s">
        <v>120</v>
      </c>
      <c r="U64" s="431"/>
      <c r="V64" s="431"/>
      <c r="W64" s="431"/>
      <c r="X64" s="431"/>
      <c r="Y64" s="432"/>
      <c r="Z64" s="430" t="s">
        <v>14</v>
      </c>
      <c r="AA64" s="431"/>
      <c r="AB64" s="431"/>
      <c r="AC64" s="431"/>
      <c r="AD64" s="431"/>
      <c r="AE64" s="432"/>
      <c r="AF64" s="430" t="s">
        <v>15</v>
      </c>
      <c r="AG64" s="431"/>
      <c r="AH64" s="431"/>
      <c r="AI64" s="431"/>
      <c r="AJ64" s="431"/>
      <c r="AK64" s="432"/>
      <c r="AL64" s="12"/>
      <c r="AM64" s="436" t="s">
        <v>16</v>
      </c>
      <c r="AN64" s="431"/>
      <c r="AO64" s="431"/>
      <c r="AP64" s="431"/>
      <c r="AQ64" s="431"/>
      <c r="AR64" s="432"/>
      <c r="AS64" s="430" t="s">
        <v>17</v>
      </c>
      <c r="AT64" s="431"/>
      <c r="AU64" s="431"/>
      <c r="AV64" s="431"/>
      <c r="AW64" s="431"/>
      <c r="AX64" s="432"/>
      <c r="AY64" s="12"/>
      <c r="AZ64" s="436" t="s">
        <v>16</v>
      </c>
      <c r="BA64" s="431"/>
      <c r="BB64" s="431"/>
      <c r="BC64" s="431"/>
      <c r="BD64" s="431"/>
      <c r="BE64" s="432"/>
      <c r="BF64" s="437" t="s">
        <v>18</v>
      </c>
      <c r="BG64" s="431"/>
      <c r="BH64" s="431"/>
      <c r="BI64" s="431"/>
      <c r="BJ64" s="431"/>
      <c r="BK64" s="432"/>
      <c r="BL64" s="438" t="s">
        <v>19</v>
      </c>
      <c r="BM64" s="431"/>
      <c r="BN64" s="431"/>
      <c r="BO64" s="431"/>
      <c r="BP64" s="431"/>
      <c r="BQ64" s="432"/>
      <c r="BR64" s="438" t="s">
        <v>20</v>
      </c>
      <c r="BS64" s="431"/>
      <c r="BT64" s="431"/>
      <c r="BU64" s="431"/>
      <c r="BV64" s="431"/>
      <c r="BW64" s="432"/>
      <c r="BX64" s="437" t="s">
        <v>78</v>
      </c>
      <c r="BY64" s="431"/>
      <c r="BZ64" s="431"/>
      <c r="CA64" s="431"/>
      <c r="CB64" s="431"/>
      <c r="CC64" s="432"/>
    </row>
    <row r="65" spans="1:81" ht="21" customHeight="1">
      <c r="A65" s="202" t="s">
        <v>45</v>
      </c>
      <c r="B65" s="203" t="s">
        <v>22</v>
      </c>
      <c r="C65" s="204"/>
      <c r="D65" s="203" t="s">
        <v>22</v>
      </c>
      <c r="E65" s="205"/>
      <c r="F65" s="203" t="s">
        <v>22</v>
      </c>
      <c r="G65" s="13">
        <f t="shared" ref="G65:G66" si="7">+C65+E65</f>
        <v>0</v>
      </c>
      <c r="H65" s="206" t="s">
        <v>23</v>
      </c>
      <c r="I65" s="14">
        <v>0</v>
      </c>
      <c r="J65" s="15">
        <f>+I65*C65</f>
        <v>0</v>
      </c>
      <c r="K65" s="207" t="s">
        <v>24</v>
      </c>
      <c r="L65" s="16">
        <v>0</v>
      </c>
      <c r="M65" s="208" t="e">
        <f>+L65/C66</f>
        <v>#DIV/0!</v>
      </c>
      <c r="N65" s="206" t="s">
        <v>23</v>
      </c>
      <c r="O65" s="14">
        <v>0</v>
      </c>
      <c r="P65" s="17">
        <f>+O65*C65</f>
        <v>0</v>
      </c>
      <c r="Q65" s="207" t="s">
        <v>24</v>
      </c>
      <c r="R65" s="16">
        <v>0</v>
      </c>
      <c r="S65" s="208" t="e">
        <f>+R65/C66</f>
        <v>#DIV/0!</v>
      </c>
      <c r="T65" s="207" t="s">
        <v>23</v>
      </c>
      <c r="U65" s="14">
        <v>0</v>
      </c>
      <c r="V65" s="17">
        <f>+U65*$C65</f>
        <v>0</v>
      </c>
      <c r="W65" s="207" t="s">
        <v>24</v>
      </c>
      <c r="X65" s="16">
        <v>0</v>
      </c>
      <c r="Y65" s="208" t="e">
        <f>+X65/C66</f>
        <v>#DIV/0!</v>
      </c>
      <c r="Z65" s="207" t="s">
        <v>23</v>
      </c>
      <c r="AA65" s="14">
        <v>0</v>
      </c>
      <c r="AB65" s="17">
        <f>+AA65*$C65</f>
        <v>0</v>
      </c>
      <c r="AC65" s="207" t="s">
        <v>24</v>
      </c>
      <c r="AD65" s="18"/>
      <c r="AE65" s="208" t="e">
        <f>+AD65/C66</f>
        <v>#DIV/0!</v>
      </c>
      <c r="AF65" s="206" t="s">
        <v>23</v>
      </c>
      <c r="AG65" s="14">
        <v>0</v>
      </c>
      <c r="AH65" s="17">
        <f>+AG65*C65</f>
        <v>0</v>
      </c>
      <c r="AI65" s="207" t="s">
        <v>24</v>
      </c>
      <c r="AJ65" s="18">
        <v>0</v>
      </c>
      <c r="AK65" s="208" t="e">
        <f>AJ65/C66</f>
        <v>#DIV/0!</v>
      </c>
      <c r="AL65" s="3"/>
      <c r="AM65" s="206" t="s">
        <v>23</v>
      </c>
      <c r="AN65" s="14"/>
      <c r="AO65" s="17">
        <f>+AN65*C65</f>
        <v>0</v>
      </c>
      <c r="AP65" s="207" t="s">
        <v>24</v>
      </c>
      <c r="AQ65" s="18"/>
      <c r="AR65" s="208" t="e">
        <f>+AQ65/C66</f>
        <v>#DIV/0!</v>
      </c>
      <c r="AS65" s="207" t="s">
        <v>23</v>
      </c>
      <c r="AT65" s="14">
        <v>0</v>
      </c>
      <c r="AU65" s="17">
        <f>+AT65*$C65</f>
        <v>0</v>
      </c>
      <c r="AV65" s="207" t="s">
        <v>24</v>
      </c>
      <c r="AW65" s="16">
        <v>0</v>
      </c>
      <c r="AX65" s="208" t="e">
        <f>+AW65/AB66</f>
        <v>#DIV/0!</v>
      </c>
      <c r="AY65" s="3"/>
      <c r="AZ65" s="206" t="s">
        <v>23</v>
      </c>
      <c r="BA65" s="14"/>
      <c r="BB65" s="17">
        <f>+BA65*P65</f>
        <v>0</v>
      </c>
      <c r="BC65" s="207" t="s">
        <v>24</v>
      </c>
      <c r="BD65" s="18"/>
      <c r="BE65" s="208" t="e">
        <f>+BD65/P66</f>
        <v>#DIV/0!</v>
      </c>
      <c r="BF65" s="206" t="s">
        <v>23</v>
      </c>
      <c r="BG65" s="14">
        <v>0</v>
      </c>
      <c r="BH65" s="17">
        <f>+BG65*$C65</f>
        <v>0</v>
      </c>
      <c r="BI65" s="207" t="s">
        <v>24</v>
      </c>
      <c r="BJ65" s="16">
        <v>0</v>
      </c>
      <c r="BK65" s="208" t="e">
        <f>+BJ65/AO66</f>
        <v>#DIV/0!</v>
      </c>
      <c r="BL65" s="206" t="s">
        <v>23</v>
      </c>
      <c r="BM65" s="14"/>
      <c r="BN65" s="15">
        <f>+BM65*P65</f>
        <v>0</v>
      </c>
      <c r="BO65" s="207" t="s">
        <v>24</v>
      </c>
      <c r="BP65" s="18">
        <v>0</v>
      </c>
      <c r="BQ65" s="208" t="e">
        <f>+BP65/P66</f>
        <v>#DIV/0!</v>
      </c>
      <c r="BR65" s="206" t="s">
        <v>23</v>
      </c>
      <c r="BS65" s="14"/>
      <c r="BT65" s="15">
        <f>+BS65*P65</f>
        <v>0</v>
      </c>
      <c r="BU65" s="207" t="s">
        <v>24</v>
      </c>
      <c r="BV65" s="18">
        <v>0</v>
      </c>
      <c r="BW65" s="208" t="e">
        <f>+BV65/P66</f>
        <v>#DIV/0!</v>
      </c>
      <c r="BX65" s="207" t="s">
        <v>23</v>
      </c>
      <c r="BY65" s="14">
        <v>0</v>
      </c>
      <c r="BZ65" s="17">
        <f>+BY65*$C65</f>
        <v>0</v>
      </c>
      <c r="CA65" s="207" t="s">
        <v>24</v>
      </c>
      <c r="CB65" s="16">
        <v>0</v>
      </c>
      <c r="CC65" s="208" t="e">
        <f>+CB65/BG66</f>
        <v>#DIV/0!</v>
      </c>
    </row>
    <row r="66" spans="1:81" ht="21" customHeight="1">
      <c r="A66" s="209" t="s">
        <v>56</v>
      </c>
      <c r="B66" s="210" t="s">
        <v>26</v>
      </c>
      <c r="C66" s="19"/>
      <c r="D66" s="210" t="s">
        <v>26</v>
      </c>
      <c r="E66" s="20"/>
      <c r="F66" s="210" t="s">
        <v>26</v>
      </c>
      <c r="G66" s="211">
        <f t="shared" si="7"/>
        <v>0</v>
      </c>
      <c r="H66" s="21" t="s">
        <v>27</v>
      </c>
      <c r="I66" s="212">
        <v>0</v>
      </c>
      <c r="J66" s="213">
        <f>+E65*I66</f>
        <v>0</v>
      </c>
      <c r="K66" s="22" t="s">
        <v>28</v>
      </c>
      <c r="L66" s="214">
        <v>0</v>
      </c>
      <c r="M66" s="215" t="e">
        <f>+L66/E66</f>
        <v>#DIV/0!</v>
      </c>
      <c r="N66" s="21" t="s">
        <v>27</v>
      </c>
      <c r="O66" s="216">
        <v>0</v>
      </c>
      <c r="P66" s="217">
        <f>+O66*E65</f>
        <v>0</v>
      </c>
      <c r="Q66" s="22" t="s">
        <v>28</v>
      </c>
      <c r="R66" s="214">
        <v>0</v>
      </c>
      <c r="S66" s="215" t="e">
        <f>+R66/E66</f>
        <v>#DIV/0!</v>
      </c>
      <c r="T66" s="22" t="s">
        <v>27</v>
      </c>
      <c r="U66" s="216">
        <v>0</v>
      </c>
      <c r="V66" s="217">
        <f>+U66*$E65</f>
        <v>0</v>
      </c>
      <c r="W66" s="22" t="s">
        <v>28</v>
      </c>
      <c r="X66" s="214">
        <v>0</v>
      </c>
      <c r="Y66" s="215" t="e">
        <f>+X66/E66</f>
        <v>#DIV/0!</v>
      </c>
      <c r="Z66" s="22" t="s">
        <v>27</v>
      </c>
      <c r="AA66" s="218"/>
      <c r="AB66" s="23">
        <f>+E65*AA66</f>
        <v>0</v>
      </c>
      <c r="AC66" s="219" t="s">
        <v>28</v>
      </c>
      <c r="AD66" s="220"/>
      <c r="AE66" s="24" t="e">
        <f>+AD66/E66</f>
        <v>#DIV/0!</v>
      </c>
      <c r="AF66" s="21" t="s">
        <v>27</v>
      </c>
      <c r="AG66" s="216">
        <v>0</v>
      </c>
      <c r="AH66" s="217">
        <f>+AG66*E65</f>
        <v>0</v>
      </c>
      <c r="AI66" s="22" t="s">
        <v>28</v>
      </c>
      <c r="AJ66" s="221">
        <v>0</v>
      </c>
      <c r="AK66" s="215" t="e">
        <f>+AJ66/E66</f>
        <v>#DIV/0!</v>
      </c>
      <c r="AL66" s="3"/>
      <c r="AM66" s="21" t="s">
        <v>27</v>
      </c>
      <c r="AN66" s="216"/>
      <c r="AO66" s="217">
        <f>+AN66*E65</f>
        <v>0</v>
      </c>
      <c r="AP66" s="22" t="s">
        <v>28</v>
      </c>
      <c r="AQ66" s="221"/>
      <c r="AR66" s="215" t="e">
        <f>+AQ66/E66</f>
        <v>#DIV/0!</v>
      </c>
      <c r="AS66" s="22" t="s">
        <v>27</v>
      </c>
      <c r="AT66" s="216">
        <v>0</v>
      </c>
      <c r="AU66" s="217">
        <f>+AT66*$E65</f>
        <v>0</v>
      </c>
      <c r="AV66" s="22" t="s">
        <v>28</v>
      </c>
      <c r="AW66" s="214">
        <v>0</v>
      </c>
      <c r="AX66" s="215" t="e">
        <f>+AW66/AD66</f>
        <v>#DIV/0!</v>
      </c>
      <c r="AY66" s="3"/>
      <c r="AZ66" s="21" t="s">
        <v>27</v>
      </c>
      <c r="BA66" s="216"/>
      <c r="BB66" s="217">
        <f>+BA66*R65</f>
        <v>0</v>
      </c>
      <c r="BC66" s="22" t="s">
        <v>28</v>
      </c>
      <c r="BD66" s="221"/>
      <c r="BE66" s="215" t="e">
        <f>+BD66/R66</f>
        <v>#DIV/0!</v>
      </c>
      <c r="BF66" s="21" t="s">
        <v>27</v>
      </c>
      <c r="BG66" s="216">
        <v>0</v>
      </c>
      <c r="BH66" s="217">
        <f>+BG66*$E65</f>
        <v>0</v>
      </c>
      <c r="BI66" s="22" t="s">
        <v>28</v>
      </c>
      <c r="BJ66" s="214">
        <v>0</v>
      </c>
      <c r="BK66" s="215" t="e">
        <f>+BJ66/AQ66</f>
        <v>#DIV/0!</v>
      </c>
      <c r="BL66" s="21" t="s">
        <v>27</v>
      </c>
      <c r="BM66" s="212">
        <v>0</v>
      </c>
      <c r="BN66" s="213">
        <f>+BM66*R65</f>
        <v>0</v>
      </c>
      <c r="BO66" s="22" t="s">
        <v>28</v>
      </c>
      <c r="BP66" s="221">
        <v>0</v>
      </c>
      <c r="BQ66" s="215" t="e">
        <f>+BP66/R66</f>
        <v>#DIV/0!</v>
      </c>
      <c r="BR66" s="21" t="s">
        <v>27</v>
      </c>
      <c r="BS66" s="212"/>
      <c r="BT66" s="213">
        <f>+BS66*R65</f>
        <v>0</v>
      </c>
      <c r="BU66" s="22" t="s">
        <v>28</v>
      </c>
      <c r="BV66" s="221">
        <v>0</v>
      </c>
      <c r="BW66" s="215" t="e">
        <f>+BV66/R66</f>
        <v>#DIV/0!</v>
      </c>
      <c r="BX66" s="22" t="s">
        <v>27</v>
      </c>
      <c r="BY66" s="216">
        <v>0</v>
      </c>
      <c r="BZ66" s="217">
        <f>+BY66*$E65</f>
        <v>0</v>
      </c>
      <c r="CA66" s="22" t="s">
        <v>28</v>
      </c>
      <c r="CB66" s="214">
        <v>0</v>
      </c>
      <c r="CC66" s="215" t="e">
        <f>+CB66/BI66</f>
        <v>#VALUE!</v>
      </c>
    </row>
    <row r="67" spans="1:81" ht="21" customHeight="1">
      <c r="A67" s="222" t="s">
        <v>79</v>
      </c>
      <c r="B67" s="453" t="s">
        <v>30</v>
      </c>
      <c r="C67" s="454"/>
      <c r="D67" s="455"/>
      <c r="E67" s="456" t="e">
        <f>+(J65+J70+P65+V65+AB65+AH65+AO65++AU65+AU70+BA65+BA70+BG65+BG70+BM65+BM70)/C65</f>
        <v>#DIV/0!</v>
      </c>
      <c r="F67" s="457"/>
      <c r="G67" s="458" t="e">
        <f>+(J67+J72+P67+V67+AB67+AH67+AO67+AU67+AU72+BA67+BA72+BG67+BG72+BM67+BM72)/(G65)</f>
        <v>#VALUE!</v>
      </c>
      <c r="H67" s="223" t="s">
        <v>31</v>
      </c>
      <c r="I67" s="224" t="e">
        <f>+J67/G65</f>
        <v>#DIV/0!</v>
      </c>
      <c r="J67" s="25">
        <f>SUM(J65:J66)</f>
        <v>0</v>
      </c>
      <c r="K67" s="225" t="s">
        <v>32</v>
      </c>
      <c r="L67" s="226">
        <f>SUM(L65:L66)</f>
        <v>0</v>
      </c>
      <c r="M67" s="227" t="e">
        <f>+L67/G66</f>
        <v>#DIV/0!</v>
      </c>
      <c r="N67" s="223" t="s">
        <v>31</v>
      </c>
      <c r="O67" s="224" t="e">
        <f>+P67/F133</f>
        <v>#DIV/0!</v>
      </c>
      <c r="P67" s="26">
        <f>+P65+P66</f>
        <v>0</v>
      </c>
      <c r="Q67" s="27" t="s">
        <v>31</v>
      </c>
      <c r="R67" s="226">
        <f>SUM(R65:R66)</f>
        <v>0</v>
      </c>
      <c r="S67" s="227" t="e">
        <f>+R67/F134</f>
        <v>#DIV/0!</v>
      </c>
      <c r="T67" s="223" t="s">
        <v>31</v>
      </c>
      <c r="U67" s="224" t="e">
        <f>+V67/$G65</f>
        <v>#DIV/0!</v>
      </c>
      <c r="V67" s="26">
        <f>SUM(V65:V66)</f>
        <v>0</v>
      </c>
      <c r="W67" s="27" t="s">
        <v>31</v>
      </c>
      <c r="X67" s="226">
        <f>SUM(X65:X66)</f>
        <v>0</v>
      </c>
      <c r="Y67" s="227" t="e">
        <f>+X67/G66</f>
        <v>#DIV/0!</v>
      </c>
      <c r="Z67" s="225" t="s">
        <v>31</v>
      </c>
      <c r="AA67" s="224" t="e">
        <f>+AB67/$G65</f>
        <v>#DIV/0!</v>
      </c>
      <c r="AB67" s="26">
        <f>+AB65+AB66</f>
        <v>0</v>
      </c>
      <c r="AC67" s="27" t="s">
        <v>31</v>
      </c>
      <c r="AD67" s="225">
        <f>SUM(AD65:AD66)</f>
        <v>0</v>
      </c>
      <c r="AE67" s="227" t="e">
        <f>+AD67/G66</f>
        <v>#DIV/0!</v>
      </c>
      <c r="AF67" s="223" t="s">
        <v>31</v>
      </c>
      <c r="AG67" s="224" t="e">
        <f>+AH67/G65</f>
        <v>#DIV/0!</v>
      </c>
      <c r="AH67" s="26">
        <f>+AH65+AH66</f>
        <v>0</v>
      </c>
      <c r="AI67" s="27" t="s">
        <v>31</v>
      </c>
      <c r="AJ67" s="225">
        <f>SUM(AJ65:AJ66)</f>
        <v>0</v>
      </c>
      <c r="AK67" s="227" t="e">
        <f>+AJ67/G66</f>
        <v>#DIV/0!</v>
      </c>
      <c r="AL67" s="28"/>
      <c r="AM67" s="223" t="s">
        <v>31</v>
      </c>
      <c r="AN67" s="224" t="e">
        <f>+AO67/G65</f>
        <v>#DIV/0!</v>
      </c>
      <c r="AO67" s="26">
        <f>+AO65+AO66</f>
        <v>0</v>
      </c>
      <c r="AP67" s="27" t="s">
        <v>31</v>
      </c>
      <c r="AQ67" s="225">
        <f>SUM(AQ65:AQ66)</f>
        <v>0</v>
      </c>
      <c r="AR67" s="227" t="e">
        <f>+AQ67/G66</f>
        <v>#DIV/0!</v>
      </c>
      <c r="AS67" s="223" t="s">
        <v>31</v>
      </c>
      <c r="AT67" s="224" t="e">
        <f>+AU67/T65</f>
        <v>#VALUE!</v>
      </c>
      <c r="AU67" s="26">
        <f>+AU65+AU66</f>
        <v>0</v>
      </c>
      <c r="AV67" s="27" t="s">
        <v>31</v>
      </c>
      <c r="AW67" s="226">
        <f>SUM(AW65:AW66)</f>
        <v>0</v>
      </c>
      <c r="AX67" s="227" t="e">
        <f>+AW67/T66</f>
        <v>#VALUE!</v>
      </c>
      <c r="AY67" s="28"/>
      <c r="AZ67" s="223" t="s">
        <v>31</v>
      </c>
      <c r="BA67" s="224" t="e">
        <f>+BB67/T65</f>
        <v>#VALUE!</v>
      </c>
      <c r="BB67" s="26">
        <f>+BB65+BB66</f>
        <v>0</v>
      </c>
      <c r="BC67" s="27" t="s">
        <v>31</v>
      </c>
      <c r="BD67" s="225">
        <f>SUM(BD65:BD66)</f>
        <v>0</v>
      </c>
      <c r="BE67" s="227" t="e">
        <f>+BD67/T66</f>
        <v>#VALUE!</v>
      </c>
      <c r="BF67" s="223" t="s">
        <v>31</v>
      </c>
      <c r="BG67" s="224" t="e">
        <f>+BH67/T65</f>
        <v>#VALUE!</v>
      </c>
      <c r="BH67" s="25">
        <f>SUM(BH65:BH66)</f>
        <v>0</v>
      </c>
      <c r="BI67" s="27" t="s">
        <v>31</v>
      </c>
      <c r="BJ67" s="226">
        <f>SUM(BJ65:BJ66)</f>
        <v>0</v>
      </c>
      <c r="BK67" s="227" t="e">
        <f>+BJ67/T66</f>
        <v>#VALUE!</v>
      </c>
      <c r="BL67" s="223" t="s">
        <v>31</v>
      </c>
      <c r="BM67" s="224" t="e">
        <f>+BN67/T65</f>
        <v>#VALUE!</v>
      </c>
      <c r="BN67" s="25">
        <f>SUM(BN65:BN66)</f>
        <v>0</v>
      </c>
      <c r="BO67" s="27" t="s">
        <v>31</v>
      </c>
      <c r="BP67" s="225">
        <f>SUM(BP65:BP66)</f>
        <v>0</v>
      </c>
      <c r="BQ67" s="227" t="e">
        <f>+BP67/T66</f>
        <v>#VALUE!</v>
      </c>
      <c r="BR67" s="223" t="s">
        <v>31</v>
      </c>
      <c r="BS67" s="224" t="e">
        <f>+BT67/T65</f>
        <v>#VALUE!</v>
      </c>
      <c r="BT67" s="25">
        <f>SUM(BT65:BT66)</f>
        <v>0</v>
      </c>
      <c r="BU67" s="27" t="s">
        <v>31</v>
      </c>
      <c r="BV67" s="225">
        <f>SUM(BV65:BV66)</f>
        <v>0</v>
      </c>
      <c r="BW67" s="227" t="e">
        <f>+BV67/T66</f>
        <v>#VALUE!</v>
      </c>
      <c r="BX67" s="223" t="s">
        <v>31</v>
      </c>
      <c r="BY67" s="224" t="e">
        <f>+BZ67/T65</f>
        <v>#VALUE!</v>
      </c>
      <c r="BZ67" s="25">
        <f>SUM(BZ65:BZ66)</f>
        <v>0</v>
      </c>
      <c r="CA67" s="27" t="s">
        <v>31</v>
      </c>
      <c r="CB67" s="226">
        <f>SUM(CB65:CB66)</f>
        <v>0</v>
      </c>
      <c r="CC67" s="227" t="e">
        <f>+CB67/T66</f>
        <v>#VALUE!</v>
      </c>
    </row>
    <row r="68" spans="1:81" ht="21" customHeight="1">
      <c r="A68" s="222" t="s">
        <v>80</v>
      </c>
      <c r="B68" s="460" t="s">
        <v>34</v>
      </c>
      <c r="C68" s="461"/>
      <c r="D68" s="462"/>
      <c r="E68" s="463" t="e">
        <f>+(J66+J71+P66+V66+AB66+AH66+AO66+AU66+AU71+BA66+BA71+BG66+BG71+BM66+BM71)/E65</f>
        <v>#DIV/0!</v>
      </c>
      <c r="F68" s="464"/>
      <c r="G68" s="459"/>
      <c r="H68" s="228" t="s">
        <v>82</v>
      </c>
      <c r="I68" s="29"/>
      <c r="J68" s="29"/>
      <c r="K68" s="3"/>
      <c r="L68" s="229">
        <v>0.22</v>
      </c>
      <c r="M68" s="230">
        <f>+L68*J67</f>
        <v>0</v>
      </c>
      <c r="N68" s="244" t="s">
        <v>134</v>
      </c>
      <c r="O68" s="232"/>
      <c r="P68" s="232"/>
      <c r="Q68" s="31"/>
      <c r="R68" s="31">
        <v>7.0000000000000007E-2</v>
      </c>
      <c r="S68" s="233">
        <f>R68*P67</f>
        <v>0</v>
      </c>
      <c r="T68" s="231" t="s">
        <v>37</v>
      </c>
      <c r="U68" s="232"/>
      <c r="V68" s="232"/>
      <c r="W68" s="31"/>
      <c r="X68" s="31">
        <v>0.15</v>
      </c>
      <c r="Y68" s="234">
        <f>X68*V67</f>
        <v>0</v>
      </c>
      <c r="Z68" s="235" t="s">
        <v>38</v>
      </c>
      <c r="AA68" s="32"/>
      <c r="AB68" s="33"/>
      <c r="AC68" s="33"/>
      <c r="AD68" s="34"/>
      <c r="AE68" s="234">
        <f>AD68*AB67</f>
        <v>0</v>
      </c>
      <c r="AF68" s="231" t="s">
        <v>39</v>
      </c>
      <c r="AG68" s="35"/>
      <c r="AH68" s="36"/>
      <c r="AI68" s="36"/>
      <c r="AJ68" s="37">
        <v>7.4999999999999997E-2</v>
      </c>
      <c r="AK68" s="234">
        <f>AJ68*AH67</f>
        <v>0</v>
      </c>
      <c r="AL68" s="38"/>
      <c r="AM68" s="235" t="s">
        <v>40</v>
      </c>
      <c r="AN68" s="32"/>
      <c r="AO68" s="33"/>
      <c r="AP68" s="33"/>
      <c r="AQ68" s="39">
        <v>1</v>
      </c>
      <c r="AR68" s="234">
        <f>AQ68*AO67</f>
        <v>0</v>
      </c>
      <c r="AS68" s="231" t="s">
        <v>41</v>
      </c>
      <c r="AT68" s="35"/>
      <c r="AU68" s="36"/>
      <c r="AV68" s="36"/>
      <c r="AW68" s="37">
        <v>0.83</v>
      </c>
      <c r="AX68" s="234">
        <f>AW68*AU67</f>
        <v>0</v>
      </c>
      <c r="AY68" s="38"/>
      <c r="AZ68" s="235" t="s">
        <v>40</v>
      </c>
      <c r="BA68" s="32"/>
      <c r="BB68" s="33"/>
      <c r="BC68" s="33"/>
      <c r="BD68" s="39">
        <v>1</v>
      </c>
      <c r="BE68" s="234">
        <f>BD68*BB67</f>
        <v>0</v>
      </c>
      <c r="BF68" s="465" t="s">
        <v>42</v>
      </c>
      <c r="BG68" s="461"/>
      <c r="BH68" s="461"/>
      <c r="BI68" s="236"/>
      <c r="BJ68" s="237">
        <v>0.1</v>
      </c>
      <c r="BK68" s="230">
        <f>+BJ68*BH67</f>
        <v>0</v>
      </c>
      <c r="BL68" s="465"/>
      <c r="BM68" s="461"/>
      <c r="BN68" s="461"/>
      <c r="BO68" s="40"/>
      <c r="BP68" s="41">
        <f>+BN67*BO68</f>
        <v>0</v>
      </c>
      <c r="BQ68" s="238"/>
      <c r="BR68" s="465" t="s">
        <v>43</v>
      </c>
      <c r="BS68" s="461"/>
      <c r="BT68" s="461"/>
      <c r="BU68" s="239">
        <v>0.1</v>
      </c>
      <c r="BV68" s="240">
        <f>+BT67*BU68</f>
        <v>0</v>
      </c>
      <c r="BW68" s="211"/>
      <c r="BX68" s="465" t="s">
        <v>44</v>
      </c>
      <c r="BY68" s="461"/>
      <c r="BZ68" s="461"/>
      <c r="CA68" s="3"/>
      <c r="CB68" s="40">
        <v>0.09</v>
      </c>
      <c r="CC68" s="241">
        <f>+BZ67*CB68</f>
        <v>0</v>
      </c>
    </row>
    <row r="69" spans="1:81" ht="21" customHeight="1">
      <c r="A69" s="222" t="s">
        <v>33</v>
      </c>
      <c r="B69" s="453" t="s">
        <v>46</v>
      </c>
      <c r="C69" s="454"/>
      <c r="D69" s="455"/>
      <c r="E69" s="466" t="e">
        <f>+(L67+L72+R67+X67+AD67+AJ67+AQ67+AW67+AW72+BC67+BC72+BI67+BI72+BO67+BO72)/G66</f>
        <v>#VALUE!</v>
      </c>
      <c r="F69" s="467"/>
      <c r="G69" s="468"/>
      <c r="H69" s="441" t="s">
        <v>47</v>
      </c>
      <c r="I69" s="431"/>
      <c r="J69" s="431"/>
      <c r="K69" s="431"/>
      <c r="L69" s="431"/>
      <c r="M69" s="432"/>
      <c r="N69" s="231" t="s">
        <v>135</v>
      </c>
      <c r="O69" s="35"/>
      <c r="P69" s="36"/>
      <c r="Q69" s="36"/>
      <c r="R69" s="37">
        <v>1.4999999999999999E-2</v>
      </c>
      <c r="S69" s="233">
        <f>R69*P67</f>
        <v>0</v>
      </c>
      <c r="T69" s="231" t="s">
        <v>127</v>
      </c>
      <c r="U69" s="35"/>
      <c r="V69" s="36"/>
      <c r="W69" s="36"/>
      <c r="X69" s="37">
        <v>5.0000000000000001E-3</v>
      </c>
      <c r="Y69" s="234">
        <f>X69*V67</f>
        <v>0</v>
      </c>
      <c r="Z69" s="243" t="s">
        <v>50</v>
      </c>
      <c r="AA69" s="33"/>
      <c r="AB69" s="33"/>
      <c r="AC69" s="33"/>
      <c r="AD69" s="39"/>
      <c r="AE69" s="234">
        <f>AD69*AB67</f>
        <v>0</v>
      </c>
      <c r="AF69" s="231" t="s">
        <v>51</v>
      </c>
      <c r="AG69" s="35"/>
      <c r="AH69" s="36"/>
      <c r="AI69" s="36"/>
      <c r="AJ69" s="37">
        <v>5.0000000000000001E-3</v>
      </c>
      <c r="AK69" s="234">
        <f>AJ69*AH67</f>
        <v>0</v>
      </c>
      <c r="AL69" s="28"/>
      <c r="AM69" s="235" t="s">
        <v>52</v>
      </c>
      <c r="AN69" s="32"/>
      <c r="AO69" s="33"/>
      <c r="AP69" s="33"/>
      <c r="AQ69" s="39">
        <v>0.125</v>
      </c>
      <c r="AR69" s="234">
        <f>AQ69*AO67</f>
        <v>0</v>
      </c>
      <c r="AS69" s="231" t="s">
        <v>53</v>
      </c>
      <c r="AT69" s="35"/>
      <c r="AU69" s="36"/>
      <c r="AV69" s="36"/>
      <c r="AW69" s="37">
        <v>0.13</v>
      </c>
      <c r="AX69" s="234">
        <f>AW69*AU67</f>
        <v>0</v>
      </c>
      <c r="AY69" s="28"/>
      <c r="AZ69" s="235" t="s">
        <v>52</v>
      </c>
      <c r="BA69" s="32"/>
      <c r="BB69" s="33"/>
      <c r="BC69" s="33"/>
      <c r="BD69" s="39">
        <v>0.125</v>
      </c>
      <c r="BE69" s="234">
        <f>BD69*BB67</f>
        <v>0</v>
      </c>
      <c r="BF69" s="437" t="s">
        <v>54</v>
      </c>
      <c r="BG69" s="431"/>
      <c r="BH69" s="431"/>
      <c r="BI69" s="431"/>
      <c r="BJ69" s="431"/>
      <c r="BK69" s="432"/>
      <c r="BL69" s="438"/>
      <c r="BM69" s="431"/>
      <c r="BN69" s="431"/>
      <c r="BO69" s="431"/>
      <c r="BP69" s="431"/>
      <c r="BQ69" s="432"/>
      <c r="BR69" s="438"/>
      <c r="BS69" s="431"/>
      <c r="BT69" s="431"/>
      <c r="BU69" s="431"/>
      <c r="BV69" s="431"/>
      <c r="BW69" s="432"/>
      <c r="BX69" s="437" t="s">
        <v>55</v>
      </c>
      <c r="BY69" s="431"/>
      <c r="BZ69" s="431"/>
      <c r="CA69" s="431"/>
      <c r="CB69" s="431"/>
      <c r="CC69" s="432"/>
    </row>
    <row r="70" spans="1:81" ht="21" customHeight="1">
      <c r="A70" s="222" t="s">
        <v>95</v>
      </c>
      <c r="B70" s="469"/>
      <c r="C70" s="454"/>
      <c r="D70" s="454"/>
      <c r="E70" s="454"/>
      <c r="F70" s="454"/>
      <c r="G70" s="457"/>
      <c r="H70" s="206" t="s">
        <v>23</v>
      </c>
      <c r="I70" s="14">
        <v>0</v>
      </c>
      <c r="J70" s="15">
        <f>+I70*C65</f>
        <v>0</v>
      </c>
      <c r="K70" s="207" t="s">
        <v>24</v>
      </c>
      <c r="L70" s="16">
        <v>0</v>
      </c>
      <c r="M70" s="208" t="e">
        <f>+L70/C66</f>
        <v>#DIV/0!</v>
      </c>
      <c r="N70" s="244" t="s">
        <v>136</v>
      </c>
      <c r="O70" s="42"/>
      <c r="P70" s="43"/>
      <c r="Q70" s="43"/>
      <c r="R70" s="37">
        <v>5.0000000000000001E-3</v>
      </c>
      <c r="S70" s="233">
        <f>R70*P67</f>
        <v>0</v>
      </c>
      <c r="T70" s="244" t="s">
        <v>129</v>
      </c>
      <c r="U70" s="42"/>
      <c r="V70" s="43"/>
      <c r="W70" s="43"/>
      <c r="X70" s="37">
        <v>3.0000000000000001E-3</v>
      </c>
      <c r="Y70" s="234">
        <f>X70*V67</f>
        <v>0</v>
      </c>
      <c r="Z70" s="243" t="s">
        <v>59</v>
      </c>
      <c r="AA70" s="44"/>
      <c r="AB70" s="44"/>
      <c r="AC70" s="44"/>
      <c r="AD70" s="39"/>
      <c r="AE70" s="234">
        <f>AD70*AB67</f>
        <v>0</v>
      </c>
      <c r="AF70" s="245"/>
      <c r="AG70" s="42"/>
      <c r="AH70" s="43"/>
      <c r="AI70" s="43"/>
      <c r="AJ70" s="39"/>
      <c r="AK70" s="234">
        <f>AJ70*AH67</f>
        <v>0</v>
      </c>
      <c r="AL70" s="28"/>
      <c r="AM70" s="246" t="s">
        <v>60</v>
      </c>
      <c r="AN70" s="45"/>
      <c r="AO70" s="44"/>
      <c r="AP70" s="44"/>
      <c r="AQ70" s="39">
        <v>0.03</v>
      </c>
      <c r="AR70" s="234">
        <f>AQ70*AO67</f>
        <v>0</v>
      </c>
      <c r="AS70" s="245" t="s">
        <v>61</v>
      </c>
      <c r="AT70" s="42"/>
      <c r="AU70" s="43"/>
      <c r="AV70" s="43"/>
      <c r="AW70" s="39">
        <v>0.7</v>
      </c>
      <c r="AX70" s="234">
        <f>AW70*AU67</f>
        <v>0</v>
      </c>
      <c r="AY70" s="28"/>
      <c r="AZ70" s="246" t="s">
        <v>60</v>
      </c>
      <c r="BA70" s="45"/>
      <c r="BB70" s="44"/>
      <c r="BC70" s="44"/>
      <c r="BD70" s="39">
        <v>0.03</v>
      </c>
      <c r="BE70" s="234">
        <f>BD70*BB67</f>
        <v>0</v>
      </c>
      <c r="BF70" s="206" t="s">
        <v>23</v>
      </c>
      <c r="BG70" s="14">
        <v>0</v>
      </c>
      <c r="BH70" s="17">
        <f>+BG70*$C70</f>
        <v>0</v>
      </c>
      <c r="BI70" s="207" t="s">
        <v>24</v>
      </c>
      <c r="BJ70" s="16">
        <v>0</v>
      </c>
      <c r="BK70" s="208" t="e">
        <f>+BJ70/AO71</f>
        <v>#DIV/0!</v>
      </c>
      <c r="BL70" s="206"/>
      <c r="BM70" s="14"/>
      <c r="BN70" s="15"/>
      <c r="BO70" s="207"/>
      <c r="BP70" s="18"/>
      <c r="BQ70" s="208"/>
      <c r="BR70" s="206" t="s">
        <v>62</v>
      </c>
      <c r="BS70" s="14"/>
      <c r="BT70" s="15">
        <f>+BS70*P65</f>
        <v>0</v>
      </c>
      <c r="BU70" s="207" t="s">
        <v>24</v>
      </c>
      <c r="BV70" s="18">
        <v>0</v>
      </c>
      <c r="BW70" s="208" t="e">
        <f>+BV70/P66</f>
        <v>#DIV/0!</v>
      </c>
      <c r="BX70" s="207" t="s">
        <v>23</v>
      </c>
      <c r="BY70" s="14">
        <v>0</v>
      </c>
      <c r="BZ70" s="17">
        <f>+BY70*$C70</f>
        <v>0</v>
      </c>
      <c r="CA70" s="207" t="s">
        <v>24</v>
      </c>
      <c r="CB70" s="16">
        <v>0</v>
      </c>
      <c r="CC70" s="208" t="e">
        <f>+CB70/BG71</f>
        <v>#DIV/0!</v>
      </c>
    </row>
    <row r="71" spans="1:81" ht="21" customHeight="1">
      <c r="A71" s="222" t="s">
        <v>138</v>
      </c>
      <c r="B71" s="242"/>
      <c r="C71" s="51"/>
      <c r="D71" s="51"/>
      <c r="E71" s="51"/>
      <c r="F71" s="51"/>
      <c r="G71" s="238"/>
      <c r="H71" s="21" t="s">
        <v>27</v>
      </c>
      <c r="I71" s="212">
        <v>0</v>
      </c>
      <c r="J71" s="213">
        <f>+I71*E65</f>
        <v>0</v>
      </c>
      <c r="K71" s="22" t="s">
        <v>28</v>
      </c>
      <c r="L71" s="214">
        <v>0</v>
      </c>
      <c r="M71" s="215" t="e">
        <f>+L71/E66</f>
        <v>#DIV/0!</v>
      </c>
      <c r="N71" s="244" t="s">
        <v>137</v>
      </c>
      <c r="O71" s="42"/>
      <c r="P71" s="43"/>
      <c r="Q71" s="43"/>
      <c r="R71" s="37">
        <v>2.5000000000000001E-2</v>
      </c>
      <c r="S71" s="233">
        <f>R71*P67</f>
        <v>0</v>
      </c>
      <c r="T71" s="244" t="s">
        <v>130</v>
      </c>
      <c r="U71" s="42"/>
      <c r="V71" s="43"/>
      <c r="W71" s="43"/>
      <c r="X71" s="37">
        <v>5.0000000000000001E-3</v>
      </c>
      <c r="Y71" s="234">
        <f>X71*V67</f>
        <v>0</v>
      </c>
      <c r="Z71" s="243"/>
      <c r="AA71" s="44"/>
      <c r="AB71" s="44"/>
      <c r="AC71" s="44"/>
      <c r="AD71" s="39"/>
      <c r="AE71" s="234">
        <f>AD71*AB67</f>
        <v>0</v>
      </c>
      <c r="AF71" s="245"/>
      <c r="AG71" s="42"/>
      <c r="AH71" s="43"/>
      <c r="AI71" s="43"/>
      <c r="AJ71" s="37"/>
      <c r="AK71" s="234">
        <f>AJ71*AH67</f>
        <v>0</v>
      </c>
      <c r="AL71" s="28"/>
      <c r="AM71" s="246" t="s">
        <v>64</v>
      </c>
      <c r="AN71" s="45"/>
      <c r="AO71" s="44"/>
      <c r="AP71" s="44"/>
      <c r="AQ71" s="39">
        <v>3.0000000000000001E-3</v>
      </c>
      <c r="AR71" s="234">
        <f>AQ71*AO67</f>
        <v>0</v>
      </c>
      <c r="AS71" s="245" t="s">
        <v>65</v>
      </c>
      <c r="AT71" s="42"/>
      <c r="AU71" s="43"/>
      <c r="AV71" s="43"/>
      <c r="AW71" s="37">
        <v>0.05</v>
      </c>
      <c r="AX71" s="234">
        <f>AW71*AU67</f>
        <v>0</v>
      </c>
      <c r="AY71" s="28"/>
      <c r="AZ71" s="246" t="s">
        <v>64</v>
      </c>
      <c r="BA71" s="45"/>
      <c r="BB71" s="44"/>
      <c r="BC71" s="44"/>
      <c r="BD71" s="39">
        <v>3.0000000000000001E-3</v>
      </c>
      <c r="BE71" s="234">
        <f>BD71*BB67</f>
        <v>0</v>
      </c>
      <c r="BF71" s="21" t="s">
        <v>27</v>
      </c>
      <c r="BG71" s="216">
        <v>0</v>
      </c>
      <c r="BH71" s="217">
        <f>+BG71*$E70</f>
        <v>0</v>
      </c>
      <c r="BI71" s="22" t="s">
        <v>28</v>
      </c>
      <c r="BJ71" s="214">
        <v>0</v>
      </c>
      <c r="BK71" s="215">
        <f>+BJ71/AQ71</f>
        <v>0</v>
      </c>
      <c r="BL71" s="21"/>
      <c r="BM71" s="212"/>
      <c r="BN71" s="213"/>
      <c r="BO71" s="22"/>
      <c r="BP71" s="221"/>
      <c r="BQ71" s="215"/>
      <c r="BR71" s="21" t="s">
        <v>66</v>
      </c>
      <c r="BS71" s="212">
        <v>0</v>
      </c>
      <c r="BT71" s="213">
        <f>+BS71*R65</f>
        <v>0</v>
      </c>
      <c r="BU71" s="22" t="s">
        <v>28</v>
      </c>
      <c r="BV71" s="221">
        <v>0</v>
      </c>
      <c r="BW71" s="215" t="e">
        <f>+BV71/R66</f>
        <v>#DIV/0!</v>
      </c>
      <c r="BX71" s="22" t="s">
        <v>27</v>
      </c>
      <c r="BY71" s="216">
        <v>0</v>
      </c>
      <c r="BZ71" s="217">
        <f>+BY71*$E70</f>
        <v>0</v>
      </c>
      <c r="CA71" s="22" t="s">
        <v>28</v>
      </c>
      <c r="CB71" s="214">
        <v>0</v>
      </c>
      <c r="CC71" s="215" t="e">
        <f>+CB71/BI71</f>
        <v>#VALUE!</v>
      </c>
    </row>
    <row r="72" spans="1:81" ht="21" customHeight="1">
      <c r="A72" s="222" t="s">
        <v>94</v>
      </c>
      <c r="B72" s="256"/>
      <c r="C72" s="51"/>
      <c r="D72" s="51"/>
      <c r="E72" s="51"/>
      <c r="F72" s="51"/>
      <c r="G72" s="238"/>
      <c r="H72" s="223" t="s">
        <v>31</v>
      </c>
      <c r="I72" s="224" t="e">
        <f>+J72/G65</f>
        <v>#DIV/0!</v>
      </c>
      <c r="J72" s="25">
        <f>SUM(J70:J71)</f>
        <v>0</v>
      </c>
      <c r="K72" s="225" t="s">
        <v>32</v>
      </c>
      <c r="L72" s="226">
        <f>SUM(L70:L71)</f>
        <v>0</v>
      </c>
      <c r="M72" s="227" t="e">
        <f>+L72/G66</f>
        <v>#DIV/0!</v>
      </c>
      <c r="N72" s="244"/>
      <c r="O72" s="42"/>
      <c r="P72" s="43"/>
      <c r="Q72" s="43"/>
      <c r="R72" s="37"/>
      <c r="S72" s="233">
        <f>R72*P67</f>
        <v>0</v>
      </c>
      <c r="T72" s="231" t="s">
        <v>131</v>
      </c>
      <c r="U72" s="42"/>
      <c r="V72" s="43"/>
      <c r="W72" s="43"/>
      <c r="X72" s="37">
        <v>1E-3</v>
      </c>
      <c r="Y72" s="234">
        <f>X72*V67</f>
        <v>0</v>
      </c>
      <c r="Z72" s="243"/>
      <c r="AA72" s="44"/>
      <c r="AB72" s="44"/>
      <c r="AC72" s="44"/>
      <c r="AD72" s="46"/>
      <c r="AE72" s="234">
        <f>AD72*AB67</f>
        <v>0</v>
      </c>
      <c r="AF72" s="244"/>
      <c r="AG72" s="42"/>
      <c r="AH72" s="43"/>
      <c r="AI72" s="43"/>
      <c r="AJ72" s="46"/>
      <c r="AK72" s="234">
        <f>AJ72*AH67</f>
        <v>0</v>
      </c>
      <c r="AL72" s="28"/>
      <c r="AM72" s="246" t="s">
        <v>68</v>
      </c>
      <c r="AN72" s="45"/>
      <c r="AO72" s="44"/>
      <c r="AP72" s="44"/>
      <c r="AQ72" s="39">
        <v>0.03</v>
      </c>
      <c r="AR72" s="234">
        <f>AQ72*AO67</f>
        <v>0</v>
      </c>
      <c r="AS72" s="244" t="s">
        <v>69</v>
      </c>
      <c r="AT72" s="42"/>
      <c r="AU72" s="43"/>
      <c r="AV72" s="43"/>
      <c r="AW72" s="46">
        <v>2E-3</v>
      </c>
      <c r="AX72" s="234">
        <f>AW72*AU67</f>
        <v>0</v>
      </c>
      <c r="AY72" s="28"/>
      <c r="AZ72" s="246" t="s">
        <v>68</v>
      </c>
      <c r="BA72" s="45"/>
      <c r="BB72" s="44"/>
      <c r="BC72" s="44"/>
      <c r="BD72" s="39">
        <v>0.03</v>
      </c>
      <c r="BE72" s="234">
        <f>BD72*BB67</f>
        <v>0</v>
      </c>
      <c r="BF72" s="223" t="s">
        <v>31</v>
      </c>
      <c r="BG72" s="224" t="e">
        <f>+BH72/T65</f>
        <v>#VALUE!</v>
      </c>
      <c r="BH72" s="25">
        <f>SUM(BH70:BH71)</f>
        <v>0</v>
      </c>
      <c r="BI72" s="27" t="s">
        <v>31</v>
      </c>
      <c r="BJ72" s="226">
        <f>SUM(BJ70:BJ71)</f>
        <v>0</v>
      </c>
      <c r="BK72" s="227" t="e">
        <f>+BJ72/T66</f>
        <v>#VALUE!</v>
      </c>
      <c r="BL72" s="223"/>
      <c r="BM72" s="224"/>
      <c r="BN72" s="25"/>
      <c r="BO72" s="27"/>
      <c r="BP72" s="225"/>
      <c r="BQ72" s="227"/>
      <c r="BR72" s="223" t="s">
        <v>31</v>
      </c>
      <c r="BS72" s="224" t="e">
        <f>+BT72/T65</f>
        <v>#VALUE!</v>
      </c>
      <c r="BT72" s="25">
        <f>SUM(BT70:BT71)</f>
        <v>0</v>
      </c>
      <c r="BU72" s="27" t="s">
        <v>31</v>
      </c>
      <c r="BV72" s="225">
        <f>SUM(BV70:BV71)</f>
        <v>0</v>
      </c>
      <c r="BW72" s="227" t="e">
        <f>+BV72/T66</f>
        <v>#VALUE!</v>
      </c>
      <c r="BX72" s="223" t="s">
        <v>31</v>
      </c>
      <c r="BY72" s="224" t="e">
        <f>+BZ72/T65</f>
        <v>#VALUE!</v>
      </c>
      <c r="BZ72" s="25">
        <f>SUM(BZ70:BZ71)</f>
        <v>0</v>
      </c>
      <c r="CA72" s="27" t="s">
        <v>31</v>
      </c>
      <c r="CB72" s="226">
        <f>SUM(CB70:CB71)</f>
        <v>0</v>
      </c>
      <c r="CC72" s="227" t="e">
        <f>+CB72/T66</f>
        <v>#VALUE!</v>
      </c>
    </row>
    <row r="73" spans="1:81" ht="21" customHeight="1">
      <c r="A73" s="264"/>
      <c r="B73" s="210"/>
      <c r="C73" s="265"/>
      <c r="D73" s="265"/>
      <c r="E73" s="265"/>
      <c r="F73" s="265"/>
      <c r="G73" s="211"/>
      <c r="H73" s="228"/>
      <c r="I73" s="29"/>
      <c r="J73" s="29"/>
      <c r="K73" s="236"/>
      <c r="L73" s="229">
        <v>0.16</v>
      </c>
      <c r="M73" s="230">
        <f>+J72*L73</f>
        <v>0</v>
      </c>
      <c r="N73" s="257"/>
      <c r="O73" s="258"/>
      <c r="P73" s="259"/>
      <c r="Q73" s="259"/>
      <c r="R73" s="260"/>
      <c r="S73" s="261">
        <f>R73*P67</f>
        <v>0</v>
      </c>
      <c r="T73" s="257"/>
      <c r="U73" s="258"/>
      <c r="V73" s="259"/>
      <c r="W73" s="259"/>
      <c r="X73" s="260"/>
      <c r="Y73" s="250">
        <f>X73*V67</f>
        <v>0</v>
      </c>
      <c r="Z73" s="247" t="s">
        <v>71</v>
      </c>
      <c r="AA73" s="248"/>
      <c r="AB73" s="248"/>
      <c r="AC73" s="248"/>
      <c r="AD73" s="249"/>
      <c r="AE73" s="250">
        <f>AD73*AB67</f>
        <v>0</v>
      </c>
      <c r="AF73" s="251"/>
      <c r="AG73" s="47"/>
      <c r="AH73" s="48"/>
      <c r="AI73" s="48"/>
      <c r="AJ73" s="49"/>
      <c r="AK73" s="250">
        <f>AJ73*AH67</f>
        <v>0</v>
      </c>
      <c r="AL73" s="28"/>
      <c r="AM73" s="247" t="s">
        <v>72</v>
      </c>
      <c r="AN73" s="252"/>
      <c r="AO73" s="248"/>
      <c r="AP73" s="248"/>
      <c r="AQ73" s="249">
        <v>0.02</v>
      </c>
      <c r="AR73" s="250">
        <f>AQ73*AO67</f>
        <v>0</v>
      </c>
      <c r="AS73" s="251" t="s">
        <v>73</v>
      </c>
      <c r="AT73" s="47"/>
      <c r="AU73" s="48"/>
      <c r="AV73" s="48"/>
      <c r="AW73" s="49">
        <v>3.0000000000000001E-3</v>
      </c>
      <c r="AX73" s="250">
        <f>AW73*AU67</f>
        <v>0</v>
      </c>
      <c r="AY73" s="28"/>
      <c r="AZ73" s="247" t="s">
        <v>72</v>
      </c>
      <c r="BA73" s="252"/>
      <c r="BB73" s="248"/>
      <c r="BC73" s="248"/>
      <c r="BD73" s="249">
        <v>0.02</v>
      </c>
      <c r="BE73" s="250">
        <f>BD73*BB67</f>
        <v>0</v>
      </c>
      <c r="BF73" s="266" t="s">
        <v>74</v>
      </c>
      <c r="BG73" s="267"/>
      <c r="BH73" s="268"/>
      <c r="BI73" s="268"/>
      <c r="BJ73" s="249">
        <v>0.08</v>
      </c>
      <c r="BK73" s="253">
        <f>+BH72*BJ73</f>
        <v>0</v>
      </c>
      <c r="BL73" s="465"/>
      <c r="BM73" s="461"/>
      <c r="BN73" s="461"/>
      <c r="BO73" s="239"/>
      <c r="BP73" s="240"/>
      <c r="BQ73" s="211"/>
      <c r="BR73" s="465"/>
      <c r="BS73" s="461"/>
      <c r="BT73" s="461"/>
      <c r="BU73" s="239"/>
      <c r="BV73" s="240">
        <f>+BT72*BU73</f>
        <v>0</v>
      </c>
      <c r="BW73" s="211"/>
      <c r="BX73" s="465" t="s">
        <v>75</v>
      </c>
      <c r="BY73" s="461"/>
      <c r="BZ73" s="461"/>
      <c r="CA73" s="239"/>
      <c r="CB73" s="239">
        <v>1</v>
      </c>
      <c r="CC73" s="253">
        <f>+BZ72*CB73</f>
        <v>0</v>
      </c>
    </row>
  </sheetData>
  <mergeCells count="249">
    <mergeCell ref="B57:D57"/>
    <mergeCell ref="E57:F57"/>
    <mergeCell ref="G57:G58"/>
    <mergeCell ref="B58:D58"/>
    <mergeCell ref="E58:F58"/>
    <mergeCell ref="BF58:BH58"/>
    <mergeCell ref="BL58:BN58"/>
    <mergeCell ref="BR63:BT63"/>
    <mergeCell ref="BX63:BZ63"/>
    <mergeCell ref="BR58:BT58"/>
    <mergeCell ref="BX58:BZ58"/>
    <mergeCell ref="BF59:BK59"/>
    <mergeCell ref="BL59:BQ59"/>
    <mergeCell ref="BR59:BW59"/>
    <mergeCell ref="BX59:CC59"/>
    <mergeCell ref="BL63:BN63"/>
    <mergeCell ref="B47:D47"/>
    <mergeCell ref="E47:F47"/>
    <mergeCell ref="G47:G48"/>
    <mergeCell ref="B48:D48"/>
    <mergeCell ref="E48:F48"/>
    <mergeCell ref="B49:D49"/>
    <mergeCell ref="H49:M49"/>
    <mergeCell ref="BR54:BW54"/>
    <mergeCell ref="BX54:CC54"/>
    <mergeCell ref="Z54:AE54"/>
    <mergeCell ref="AF54:AK54"/>
    <mergeCell ref="AM54:AR54"/>
    <mergeCell ref="AS54:AX54"/>
    <mergeCell ref="AZ54:BE54"/>
    <mergeCell ref="BF54:BK54"/>
    <mergeCell ref="BL54:BQ54"/>
    <mergeCell ref="E49:G49"/>
    <mergeCell ref="B50:G50"/>
    <mergeCell ref="B54:C54"/>
    <mergeCell ref="D54:E54"/>
    <mergeCell ref="H54:M54"/>
    <mergeCell ref="N54:S54"/>
    <mergeCell ref="T54:Y54"/>
    <mergeCell ref="BF48:BH48"/>
    <mergeCell ref="E69:G69"/>
    <mergeCell ref="B70:G70"/>
    <mergeCell ref="B67:D67"/>
    <mergeCell ref="E67:F67"/>
    <mergeCell ref="G67:G68"/>
    <mergeCell ref="B68:D68"/>
    <mergeCell ref="E68:F68"/>
    <mergeCell ref="B69:D69"/>
    <mergeCell ref="H69:M69"/>
    <mergeCell ref="BF68:BH68"/>
    <mergeCell ref="BF69:BK69"/>
    <mergeCell ref="BL69:BQ69"/>
    <mergeCell ref="BR69:BW69"/>
    <mergeCell ref="BX69:CC69"/>
    <mergeCell ref="BL73:BN73"/>
    <mergeCell ref="BR73:BT73"/>
    <mergeCell ref="BX73:BZ73"/>
    <mergeCell ref="BF64:BK64"/>
    <mergeCell ref="BL64:BQ64"/>
    <mergeCell ref="BR64:BW64"/>
    <mergeCell ref="BX64:CC64"/>
    <mergeCell ref="BL68:BN68"/>
    <mergeCell ref="BR68:BT68"/>
    <mergeCell ref="BX68:BZ68"/>
    <mergeCell ref="N64:S64"/>
    <mergeCell ref="T64:Y64"/>
    <mergeCell ref="Z64:AE64"/>
    <mergeCell ref="AF64:AK64"/>
    <mergeCell ref="AM64:AR64"/>
    <mergeCell ref="AS64:AX64"/>
    <mergeCell ref="AZ64:BE64"/>
    <mergeCell ref="B59:D59"/>
    <mergeCell ref="E59:G59"/>
    <mergeCell ref="H59:M59"/>
    <mergeCell ref="B60:G60"/>
    <mergeCell ref="B64:C64"/>
    <mergeCell ref="D64:E64"/>
    <mergeCell ref="H64:M64"/>
    <mergeCell ref="BF49:BK49"/>
    <mergeCell ref="BL49:BQ49"/>
    <mergeCell ref="BR49:BW49"/>
    <mergeCell ref="BX49:CC49"/>
    <mergeCell ref="BL53:BN53"/>
    <mergeCell ref="BR53:BT53"/>
    <mergeCell ref="BX53:BZ53"/>
    <mergeCell ref="BF44:BK44"/>
    <mergeCell ref="BL44:BQ44"/>
    <mergeCell ref="BR44:BW44"/>
    <mergeCell ref="BX44:CC44"/>
    <mergeCell ref="BL48:BN48"/>
    <mergeCell ref="BR48:BT48"/>
    <mergeCell ref="BX48:BZ48"/>
    <mergeCell ref="N44:S44"/>
    <mergeCell ref="T44:Y44"/>
    <mergeCell ref="Z44:AE44"/>
    <mergeCell ref="AF44:AK44"/>
    <mergeCell ref="AM44:AR44"/>
    <mergeCell ref="AS44:AX44"/>
    <mergeCell ref="AZ44:BE44"/>
    <mergeCell ref="B39:D39"/>
    <mergeCell ref="E39:G39"/>
    <mergeCell ref="H39:M39"/>
    <mergeCell ref="B40:G40"/>
    <mergeCell ref="B44:C44"/>
    <mergeCell ref="D44:E44"/>
    <mergeCell ref="H44:M44"/>
    <mergeCell ref="B37:D37"/>
    <mergeCell ref="E37:F37"/>
    <mergeCell ref="G37:G38"/>
    <mergeCell ref="B38:D38"/>
    <mergeCell ref="E38:F38"/>
    <mergeCell ref="BF38:BH38"/>
    <mergeCell ref="BL38:BN38"/>
    <mergeCell ref="BR43:BT43"/>
    <mergeCell ref="BX43:BZ43"/>
    <mergeCell ref="BR38:BT38"/>
    <mergeCell ref="BX38:BZ38"/>
    <mergeCell ref="BF39:BK39"/>
    <mergeCell ref="BL39:BQ39"/>
    <mergeCell ref="BR39:BW39"/>
    <mergeCell ref="BX39:CC39"/>
    <mergeCell ref="BL43:BN43"/>
    <mergeCell ref="B27:D27"/>
    <mergeCell ref="E27:F27"/>
    <mergeCell ref="G27:G28"/>
    <mergeCell ref="B28:D28"/>
    <mergeCell ref="E28:F28"/>
    <mergeCell ref="B29:D29"/>
    <mergeCell ref="H29:M29"/>
    <mergeCell ref="BR34:BW34"/>
    <mergeCell ref="BX34:CC34"/>
    <mergeCell ref="Z34:AE34"/>
    <mergeCell ref="AF34:AK34"/>
    <mergeCell ref="AM34:AR34"/>
    <mergeCell ref="AS34:AX34"/>
    <mergeCell ref="AZ34:BE34"/>
    <mergeCell ref="BF34:BK34"/>
    <mergeCell ref="BL34:BQ34"/>
    <mergeCell ref="E29:G29"/>
    <mergeCell ref="B30:G30"/>
    <mergeCell ref="B34:C34"/>
    <mergeCell ref="D34:E34"/>
    <mergeCell ref="H34:M34"/>
    <mergeCell ref="N34:S34"/>
    <mergeCell ref="T34:Y34"/>
    <mergeCell ref="Z24:AE24"/>
    <mergeCell ref="AF24:AK24"/>
    <mergeCell ref="AM24:AR24"/>
    <mergeCell ref="AS24:AX24"/>
    <mergeCell ref="AZ24:BE24"/>
    <mergeCell ref="BL29:BQ29"/>
    <mergeCell ref="BR29:BW29"/>
    <mergeCell ref="BX29:CC29"/>
    <mergeCell ref="BL33:BN33"/>
    <mergeCell ref="BR33:BT33"/>
    <mergeCell ref="BX33:BZ33"/>
    <mergeCell ref="BF24:BK24"/>
    <mergeCell ref="BL24:BQ24"/>
    <mergeCell ref="BF28:BH28"/>
    <mergeCell ref="BL28:BN28"/>
    <mergeCell ref="BR28:BT28"/>
    <mergeCell ref="BX28:BZ28"/>
    <mergeCell ref="BF29:BK29"/>
    <mergeCell ref="B19:D19"/>
    <mergeCell ref="E19:G19"/>
    <mergeCell ref="H19:M19"/>
    <mergeCell ref="B20:G20"/>
    <mergeCell ref="B24:C24"/>
    <mergeCell ref="D24:E24"/>
    <mergeCell ref="H24:M24"/>
    <mergeCell ref="N24:S24"/>
    <mergeCell ref="T24:Y24"/>
    <mergeCell ref="BR23:BT23"/>
    <mergeCell ref="BX23:BZ23"/>
    <mergeCell ref="BR24:BW24"/>
    <mergeCell ref="BX24:CC24"/>
    <mergeCell ref="BR18:BT18"/>
    <mergeCell ref="BX18:BZ18"/>
    <mergeCell ref="BF19:BK19"/>
    <mergeCell ref="BL19:BQ19"/>
    <mergeCell ref="BR19:BW19"/>
    <mergeCell ref="BX19:CC19"/>
    <mergeCell ref="BL23:BN23"/>
    <mergeCell ref="B17:D17"/>
    <mergeCell ref="E17:F17"/>
    <mergeCell ref="G17:G18"/>
    <mergeCell ref="B18:D18"/>
    <mergeCell ref="E18:F18"/>
    <mergeCell ref="BF18:BH18"/>
    <mergeCell ref="BL18:BN18"/>
    <mergeCell ref="B9:D9"/>
    <mergeCell ref="E9:G9"/>
    <mergeCell ref="H9:M9"/>
    <mergeCell ref="B10:G10"/>
    <mergeCell ref="B11:G13"/>
    <mergeCell ref="B14:C14"/>
    <mergeCell ref="D14:E14"/>
    <mergeCell ref="AZ14:BE14"/>
    <mergeCell ref="BF14:BK14"/>
    <mergeCell ref="BL14:BQ14"/>
    <mergeCell ref="BR14:BW14"/>
    <mergeCell ref="BX14:CC14"/>
    <mergeCell ref="H14:M14"/>
    <mergeCell ref="N14:S14"/>
    <mergeCell ref="T14:Y14"/>
    <mergeCell ref="Z14:AE14"/>
    <mergeCell ref="AF14:AK14"/>
    <mergeCell ref="AM14:AR14"/>
    <mergeCell ref="AS14:AX14"/>
    <mergeCell ref="B7:D7"/>
    <mergeCell ref="E7:F7"/>
    <mergeCell ref="G7:G8"/>
    <mergeCell ref="B8:D8"/>
    <mergeCell ref="E8:F8"/>
    <mergeCell ref="BF8:BH8"/>
    <mergeCell ref="BL8:BN8"/>
    <mergeCell ref="BR13:BT13"/>
    <mergeCell ref="BX13:BZ13"/>
    <mergeCell ref="BR8:BT8"/>
    <mergeCell ref="BX8:BZ8"/>
    <mergeCell ref="BF9:BK9"/>
    <mergeCell ref="BL9:BQ9"/>
    <mergeCell ref="BR9:BW9"/>
    <mergeCell ref="BX9:CC9"/>
    <mergeCell ref="BL13:BN13"/>
    <mergeCell ref="AF4:AK4"/>
    <mergeCell ref="AM4:AR4"/>
    <mergeCell ref="AS4:AX4"/>
    <mergeCell ref="AZ4:BE4"/>
    <mergeCell ref="BF4:BK4"/>
    <mergeCell ref="BL4:BQ4"/>
    <mergeCell ref="BR4:BW4"/>
    <mergeCell ref="BX4:CC4"/>
    <mergeCell ref="B3:E3"/>
    <mergeCell ref="B4:C4"/>
    <mergeCell ref="D4:E4"/>
    <mergeCell ref="H4:M4"/>
    <mergeCell ref="N4:S4"/>
    <mergeCell ref="T4:Y4"/>
    <mergeCell ref="Z4:AE4"/>
    <mergeCell ref="AS2:AX3"/>
    <mergeCell ref="BF2:CC3"/>
    <mergeCell ref="B2:C2"/>
    <mergeCell ref="D2:E2"/>
    <mergeCell ref="H2:M3"/>
    <mergeCell ref="N2:S3"/>
    <mergeCell ref="T2:Y3"/>
    <mergeCell ref="Z2:AE3"/>
    <mergeCell ref="AF2:AK3"/>
  </mergeCells>
  <pageMargins left="0" right="0" top="0.39370078740157483" bottom="0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33"/>
  <sheetViews>
    <sheetView workbookViewId="0"/>
  </sheetViews>
  <sheetFormatPr baseColWidth="10" defaultColWidth="14.42578125" defaultRowHeight="15" customHeight="1"/>
  <cols>
    <col min="1" max="26" width="10.7109375" customWidth="1"/>
  </cols>
  <sheetData>
    <row r="1" spans="1:17" ht="18.75">
      <c r="A1" s="441" t="s">
        <v>118</v>
      </c>
      <c r="B1" s="431"/>
      <c r="C1" s="431"/>
      <c r="D1" s="431"/>
      <c r="E1" s="431"/>
      <c r="F1" s="432"/>
    </row>
    <row r="2" spans="1:17" ht="18.75">
      <c r="A2" s="441" t="s">
        <v>139</v>
      </c>
      <c r="B2" s="431"/>
      <c r="C2" s="431"/>
      <c r="D2" s="431"/>
      <c r="E2" s="431"/>
      <c r="F2" s="432"/>
    </row>
    <row r="3" spans="1:17" ht="18.75">
      <c r="A3" s="441" t="s">
        <v>140</v>
      </c>
      <c r="B3" s="431"/>
      <c r="C3" s="431"/>
      <c r="D3" s="431"/>
      <c r="E3" s="431"/>
      <c r="F3" s="432"/>
    </row>
    <row r="4" spans="1:17" ht="18.75">
      <c r="A4" s="441" t="s">
        <v>11</v>
      </c>
      <c r="B4" s="431"/>
      <c r="C4" s="431"/>
      <c r="D4" s="431"/>
      <c r="E4" s="431"/>
      <c r="F4" s="432"/>
    </row>
    <row r="5" spans="1:17" ht="18.75">
      <c r="A5" s="441" t="s">
        <v>89</v>
      </c>
      <c r="B5" s="431"/>
      <c r="C5" s="431"/>
      <c r="D5" s="431"/>
      <c r="E5" s="431"/>
      <c r="F5" s="432"/>
    </row>
    <row r="6" spans="1:17" ht="18.75">
      <c r="A6" s="476"/>
      <c r="B6" s="477"/>
      <c r="C6" s="477"/>
      <c r="D6" s="477"/>
      <c r="E6" s="477"/>
      <c r="F6" s="477"/>
      <c r="Q6" s="54">
        <v>2</v>
      </c>
    </row>
    <row r="7" spans="1:17">
      <c r="A7" s="3"/>
      <c r="B7" s="3"/>
      <c r="C7" s="3"/>
      <c r="D7" s="3"/>
      <c r="E7" s="3"/>
      <c r="F7" s="3"/>
    </row>
    <row r="8" spans="1:17" ht="15.75">
      <c r="A8" s="437" t="s">
        <v>78</v>
      </c>
      <c r="B8" s="431"/>
      <c r="C8" s="431"/>
      <c r="D8" s="431"/>
      <c r="E8" s="431"/>
      <c r="F8" s="432"/>
      <c r="Q8" s="54">
        <v>1</v>
      </c>
    </row>
    <row r="9" spans="1:17" ht="15.75">
      <c r="A9" s="437" t="s">
        <v>141</v>
      </c>
      <c r="B9" s="431"/>
      <c r="C9" s="431"/>
      <c r="D9" s="431"/>
      <c r="E9" s="431"/>
      <c r="F9" s="432"/>
    </row>
    <row r="10" spans="1:17" ht="15.75">
      <c r="A10" s="437" t="s">
        <v>142</v>
      </c>
      <c r="B10" s="431"/>
      <c r="C10" s="431"/>
      <c r="D10" s="431"/>
      <c r="E10" s="431"/>
      <c r="F10" s="432"/>
      <c r="Q10" s="54">
        <v>3</v>
      </c>
    </row>
    <row r="11" spans="1:17" ht="15.75">
      <c r="A11" s="437" t="s">
        <v>143</v>
      </c>
      <c r="B11" s="431"/>
      <c r="C11" s="431"/>
      <c r="D11" s="431"/>
      <c r="E11" s="431"/>
      <c r="F11" s="432"/>
    </row>
    <row r="12" spans="1:17" ht="15.75">
      <c r="A12" s="437" t="s">
        <v>144</v>
      </c>
      <c r="B12" s="431"/>
      <c r="C12" s="431"/>
      <c r="D12" s="431"/>
      <c r="E12" s="431"/>
      <c r="F12" s="432"/>
    </row>
    <row r="13" spans="1:17" ht="15.75">
      <c r="A13" s="437" t="s">
        <v>145</v>
      </c>
      <c r="B13" s="431"/>
      <c r="C13" s="431"/>
      <c r="D13" s="431"/>
      <c r="E13" s="431"/>
      <c r="F13" s="432"/>
    </row>
    <row r="19" spans="10:10">
      <c r="J19" s="54">
        <v>2</v>
      </c>
    </row>
    <row r="21" spans="10:10" ht="15.75" customHeight="1"/>
    <row r="22" spans="10:10" ht="15.75" customHeight="1">
      <c r="J22" s="54">
        <v>1</v>
      </c>
    </row>
    <row r="23" spans="10:10" ht="15.75" customHeight="1"/>
    <row r="24" spans="10:10" ht="15.75" customHeight="1">
      <c r="J24" s="54">
        <v>3</v>
      </c>
    </row>
    <row r="25" spans="10:10" ht="15.75" customHeight="1"/>
    <row r="26" spans="10:10" ht="15.75" customHeight="1">
      <c r="J26" s="54">
        <v>1</v>
      </c>
    </row>
    <row r="27" spans="10:10" ht="15.75" customHeight="1"/>
    <row r="28" spans="10:10" ht="15.75" customHeight="1">
      <c r="J28" s="54">
        <v>2</v>
      </c>
    </row>
    <row r="29" spans="10:10" ht="15.75" customHeight="1"/>
    <row r="30" spans="10:10" ht="15.75" customHeight="1">
      <c r="J30" s="54">
        <v>3</v>
      </c>
    </row>
    <row r="33" spans="10:10" ht="15.75" customHeight="1">
      <c r="J33" s="54">
        <v>3</v>
      </c>
    </row>
  </sheetData>
  <mergeCells count="12">
    <mergeCell ref="A6:F6"/>
    <mergeCell ref="A8:F8"/>
    <mergeCell ref="A1:F1"/>
    <mergeCell ref="A2:F2"/>
    <mergeCell ref="A3:F3"/>
    <mergeCell ref="A4:F4"/>
    <mergeCell ref="A5:F5"/>
    <mergeCell ref="A9:F9"/>
    <mergeCell ref="A10:F10"/>
    <mergeCell ref="A11:F11"/>
    <mergeCell ref="A12:F12"/>
    <mergeCell ref="A13:F13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00B0F0"/>
    <pageSetUpPr fitToPage="1"/>
  </sheetPr>
  <dimension ref="A1:BI327"/>
  <sheetViews>
    <sheetView showGridLines="0" topLeftCell="Y1" workbookViewId="0">
      <pane ySplit="2" topLeftCell="A3" activePane="bottomLeft" state="frozen"/>
      <selection activeCell="B5" sqref="B5"/>
      <selection pane="bottomLeft" activeCell="N3" sqref="N3:S3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61" width="6.5703125" customWidth="1"/>
  </cols>
  <sheetData>
    <row r="1" spans="1:61" ht="17.25" customHeight="1">
      <c r="A1" s="5" t="s">
        <v>146</v>
      </c>
      <c r="B1" s="449" t="s">
        <v>0</v>
      </c>
      <c r="C1" s="432"/>
      <c r="D1" s="498">
        <v>3</v>
      </c>
      <c r="E1" s="432"/>
      <c r="F1" s="6"/>
      <c r="G1" s="7"/>
      <c r="H1" s="496" t="s">
        <v>147</v>
      </c>
      <c r="I1" s="445"/>
      <c r="J1" s="445"/>
      <c r="K1" s="445"/>
      <c r="L1" s="445"/>
      <c r="M1" s="446"/>
      <c r="N1" s="499" t="s">
        <v>148</v>
      </c>
      <c r="O1" s="445"/>
      <c r="P1" s="445"/>
      <c r="Q1" s="445"/>
      <c r="R1" s="445"/>
      <c r="S1" s="446"/>
      <c r="T1" s="500" t="s">
        <v>170</v>
      </c>
      <c r="U1" s="445"/>
      <c r="V1" s="445"/>
      <c r="W1" s="445"/>
      <c r="X1" s="445"/>
      <c r="Y1" s="446"/>
      <c r="Z1" s="500" t="s">
        <v>171</v>
      </c>
      <c r="AA1" s="445"/>
      <c r="AB1" s="445"/>
      <c r="AC1" s="445"/>
      <c r="AD1" s="445"/>
      <c r="AE1" s="446"/>
      <c r="AF1" s="495" t="s">
        <v>172</v>
      </c>
      <c r="AG1" s="445"/>
      <c r="AH1" s="445"/>
      <c r="AI1" s="445"/>
      <c r="AJ1" s="445"/>
      <c r="AK1" s="446"/>
      <c r="AL1" s="495" t="s">
        <v>173</v>
      </c>
      <c r="AM1" s="445"/>
      <c r="AN1" s="445"/>
      <c r="AO1" s="445"/>
      <c r="AP1" s="445"/>
      <c r="AQ1" s="446"/>
      <c r="AR1" s="496" t="s">
        <v>174</v>
      </c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6"/>
      <c r="BD1" s="497" t="s">
        <v>175</v>
      </c>
      <c r="BE1" s="445"/>
      <c r="BF1" s="445"/>
      <c r="BG1" s="445"/>
      <c r="BH1" s="445"/>
      <c r="BI1" s="446"/>
    </row>
    <row r="2" spans="1:61" ht="17.25" customHeight="1">
      <c r="A2" s="5"/>
      <c r="B2" s="485">
        <v>45306</v>
      </c>
      <c r="C2" s="445"/>
      <c r="D2" s="445"/>
      <c r="E2" s="446"/>
      <c r="F2" s="9"/>
      <c r="G2" s="9"/>
      <c r="H2" s="447"/>
      <c r="I2" s="434"/>
      <c r="J2" s="434"/>
      <c r="K2" s="434"/>
      <c r="L2" s="434"/>
      <c r="M2" s="435"/>
      <c r="N2" s="447"/>
      <c r="O2" s="434"/>
      <c r="P2" s="434"/>
      <c r="Q2" s="434"/>
      <c r="R2" s="434"/>
      <c r="S2" s="435"/>
      <c r="T2" s="447"/>
      <c r="U2" s="434"/>
      <c r="V2" s="434"/>
      <c r="W2" s="434"/>
      <c r="X2" s="434"/>
      <c r="Y2" s="435"/>
      <c r="Z2" s="447"/>
      <c r="AA2" s="434"/>
      <c r="AB2" s="434"/>
      <c r="AC2" s="434"/>
      <c r="AD2" s="434"/>
      <c r="AE2" s="435"/>
      <c r="AF2" s="447"/>
      <c r="AG2" s="434"/>
      <c r="AH2" s="434"/>
      <c r="AI2" s="434"/>
      <c r="AJ2" s="434"/>
      <c r="AK2" s="435"/>
      <c r="AL2" s="447"/>
      <c r="AM2" s="434"/>
      <c r="AN2" s="434"/>
      <c r="AO2" s="434"/>
      <c r="AP2" s="434"/>
      <c r="AQ2" s="435"/>
      <c r="AR2" s="447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5"/>
      <c r="BD2" s="434"/>
      <c r="BE2" s="434"/>
      <c r="BF2" s="434"/>
      <c r="BG2" s="434"/>
      <c r="BH2" s="434"/>
      <c r="BI2" s="435"/>
    </row>
    <row r="3" spans="1:61" ht="17.25" customHeight="1">
      <c r="A3" s="55">
        <f>B2</f>
        <v>45306</v>
      </c>
      <c r="B3" s="486" t="s">
        <v>8</v>
      </c>
      <c r="C3" s="464"/>
      <c r="D3" s="486" t="s">
        <v>9</v>
      </c>
      <c r="E3" s="464"/>
      <c r="F3" s="329" t="s">
        <v>10</v>
      </c>
      <c r="G3" s="330"/>
      <c r="H3" s="487" t="s">
        <v>149</v>
      </c>
      <c r="I3" s="431"/>
      <c r="J3" s="431"/>
      <c r="K3" s="431"/>
      <c r="L3" s="431"/>
      <c r="M3" s="432"/>
      <c r="N3" s="488" t="s">
        <v>150</v>
      </c>
      <c r="O3" s="489"/>
      <c r="P3" s="489"/>
      <c r="Q3" s="489"/>
      <c r="R3" s="489"/>
      <c r="S3" s="490"/>
      <c r="T3" s="491" t="s">
        <v>198</v>
      </c>
      <c r="U3" s="492"/>
      <c r="V3" s="492"/>
      <c r="W3" s="492"/>
      <c r="X3" s="492"/>
      <c r="Y3" s="493"/>
      <c r="Z3" s="494" t="s">
        <v>257</v>
      </c>
      <c r="AA3" s="461"/>
      <c r="AB3" s="461"/>
      <c r="AC3" s="461"/>
      <c r="AD3" s="461"/>
      <c r="AE3" s="464"/>
      <c r="AF3" s="478" t="s">
        <v>277</v>
      </c>
      <c r="AG3" s="479"/>
      <c r="AH3" s="479"/>
      <c r="AI3" s="479"/>
      <c r="AJ3" s="479"/>
      <c r="AK3" s="480"/>
      <c r="AL3" s="478" t="s">
        <v>205</v>
      </c>
      <c r="AM3" s="479"/>
      <c r="AN3" s="479"/>
      <c r="AO3" s="479"/>
      <c r="AP3" s="479"/>
      <c r="AQ3" s="480"/>
      <c r="AR3" s="481" t="s">
        <v>18</v>
      </c>
      <c r="AS3" s="431"/>
      <c r="AT3" s="431"/>
      <c r="AU3" s="431"/>
      <c r="AV3" s="431"/>
      <c r="AW3" s="432"/>
      <c r="AX3" s="482" t="s">
        <v>154</v>
      </c>
      <c r="AY3" s="434"/>
      <c r="AZ3" s="434"/>
      <c r="BA3" s="434"/>
      <c r="BB3" s="434"/>
      <c r="BC3" s="435"/>
      <c r="BD3" s="483" t="s">
        <v>155</v>
      </c>
      <c r="BE3" s="431"/>
      <c r="BF3" s="431"/>
      <c r="BG3" s="431"/>
      <c r="BH3" s="431"/>
      <c r="BI3" s="484"/>
    </row>
    <row r="4" spans="1:61" ht="17.25" customHeight="1">
      <c r="A4" s="269"/>
      <c r="B4" s="331" t="s">
        <v>22</v>
      </c>
      <c r="C4" s="332">
        <v>100</v>
      </c>
      <c r="D4" s="331" t="s">
        <v>22</v>
      </c>
      <c r="E4" s="104">
        <v>50</v>
      </c>
      <c r="F4" s="331" t="s">
        <v>22</v>
      </c>
      <c r="G4" s="104">
        <f t="shared" ref="G4:G5" si="0">+C4+E4</f>
        <v>150</v>
      </c>
      <c r="H4" s="333" t="s">
        <v>23</v>
      </c>
      <c r="I4" s="105">
        <v>0.05</v>
      </c>
      <c r="J4" s="106">
        <f>+I4*$C4*$F9</f>
        <v>3</v>
      </c>
      <c r="K4" s="333" t="s">
        <v>24</v>
      </c>
      <c r="L4" s="107">
        <v>3</v>
      </c>
      <c r="M4" s="334">
        <f>L4/($F12*$C5)</f>
        <v>5.1264524948735471E-2</v>
      </c>
      <c r="N4" s="335" t="s">
        <v>23</v>
      </c>
      <c r="O4" s="108">
        <v>0.01</v>
      </c>
      <c r="P4" s="109">
        <f>+O4*$C4*$F9</f>
        <v>0.6</v>
      </c>
      <c r="Q4" s="336" t="s">
        <v>24</v>
      </c>
      <c r="R4" s="110">
        <v>0.5</v>
      </c>
      <c r="S4" s="334">
        <f>R4/($F12*$C5)</f>
        <v>8.5440874914559112E-3</v>
      </c>
      <c r="T4" s="336" t="s">
        <v>23</v>
      </c>
      <c r="U4" s="111">
        <v>0.05</v>
      </c>
      <c r="V4" s="112">
        <f>+U4*$C4*$F9</f>
        <v>3</v>
      </c>
      <c r="W4" s="336" t="s">
        <v>24</v>
      </c>
      <c r="X4" s="110">
        <v>3</v>
      </c>
      <c r="Y4" s="334">
        <f>X4/($F12*$C5)</f>
        <v>5.1264524948735471E-2</v>
      </c>
      <c r="Z4" s="336" t="s">
        <v>23</v>
      </c>
      <c r="AA4" s="111">
        <v>0.03</v>
      </c>
      <c r="AB4" s="112">
        <f>+AA4*$C4*$F9</f>
        <v>1.7999999999999998</v>
      </c>
      <c r="AC4" s="336" t="s">
        <v>24</v>
      </c>
      <c r="AD4" s="110">
        <v>2</v>
      </c>
      <c r="AE4" s="334">
        <f>AD4/($F12*$C5)</f>
        <v>3.4176349965823645E-2</v>
      </c>
      <c r="AF4" s="336" t="s">
        <v>23</v>
      </c>
      <c r="AG4" s="111">
        <v>0.1</v>
      </c>
      <c r="AH4" s="112">
        <f>+AG4*$C4*$F9</f>
        <v>6</v>
      </c>
      <c r="AI4" s="336" t="s">
        <v>24</v>
      </c>
      <c r="AJ4" s="110">
        <v>6</v>
      </c>
      <c r="AK4" s="334">
        <f>AJ4/($F12*$C5)</f>
        <v>0.10252904989747094</v>
      </c>
      <c r="AL4" s="336" t="s">
        <v>23</v>
      </c>
      <c r="AM4" s="111">
        <v>0.05</v>
      </c>
      <c r="AN4" s="112">
        <f>+AM4*$C4*$F9</f>
        <v>3</v>
      </c>
      <c r="AO4" s="336" t="s">
        <v>24</v>
      </c>
      <c r="AP4" s="110">
        <v>3</v>
      </c>
      <c r="AQ4" s="334">
        <f>AP4/($F12*$C5)</f>
        <v>5.1264524948735471E-2</v>
      </c>
      <c r="AR4" s="333" t="s">
        <v>23</v>
      </c>
      <c r="AS4" s="105">
        <v>7.0000000000000007E-2</v>
      </c>
      <c r="AT4" s="106">
        <f>+AS4*$C4*$F9</f>
        <v>4.2</v>
      </c>
      <c r="AU4" s="333" t="s">
        <v>24</v>
      </c>
      <c r="AV4" s="107">
        <v>4</v>
      </c>
      <c r="AW4" s="334">
        <f>AV4/($F12*$C5)</f>
        <v>6.835269993164729E-2</v>
      </c>
      <c r="AX4" s="333" t="s">
        <v>23</v>
      </c>
      <c r="AY4" s="105">
        <v>0.43</v>
      </c>
      <c r="AZ4" s="106">
        <f>+AY4*$C4*$F9</f>
        <v>25.8</v>
      </c>
      <c r="BA4" s="333" t="s">
        <v>24</v>
      </c>
      <c r="BB4" s="107">
        <v>25</v>
      </c>
      <c r="BC4" s="334">
        <f>BB4/($F12*$C5)</f>
        <v>0.42720437457279559</v>
      </c>
      <c r="BD4" s="333" t="s">
        <v>23</v>
      </c>
      <c r="BE4" s="105">
        <v>0.02</v>
      </c>
      <c r="BF4" s="106">
        <f>+BE4*$C4*$F9</f>
        <v>1.2</v>
      </c>
      <c r="BG4" s="333" t="s">
        <v>24</v>
      </c>
      <c r="BH4" s="107">
        <v>1</v>
      </c>
      <c r="BI4" s="334">
        <f>BH4/($F12*$C5)</f>
        <v>1.7088174982911822E-2</v>
      </c>
    </row>
    <row r="5" spans="1:61" ht="17.25" customHeight="1">
      <c r="A5" s="278" t="s">
        <v>25</v>
      </c>
      <c r="B5" s="337" t="s">
        <v>26</v>
      </c>
      <c r="C5" s="113">
        <v>100</v>
      </c>
      <c r="D5" s="337" t="s">
        <v>26</v>
      </c>
      <c r="E5" s="114">
        <v>50</v>
      </c>
      <c r="F5" s="337" t="s">
        <v>26</v>
      </c>
      <c r="G5" s="114">
        <f t="shared" si="0"/>
        <v>150</v>
      </c>
      <c r="H5" s="115" t="s">
        <v>27</v>
      </c>
      <c r="I5" s="338">
        <v>0.03</v>
      </c>
      <c r="J5" s="339">
        <f>+I5*$E4*$F9</f>
        <v>0.89999999999999991</v>
      </c>
      <c r="K5" s="115" t="s">
        <v>28</v>
      </c>
      <c r="L5" s="340">
        <v>1</v>
      </c>
      <c r="M5" s="341">
        <f>L5/($F12*$E5)</f>
        <v>3.4176349965823645E-2</v>
      </c>
      <c r="N5" s="116" t="s">
        <v>27</v>
      </c>
      <c r="O5" s="342">
        <v>0.02</v>
      </c>
      <c r="P5" s="343">
        <f>+O5*$E4*$F9</f>
        <v>0.6</v>
      </c>
      <c r="Q5" s="117" t="s">
        <v>28</v>
      </c>
      <c r="R5" s="344">
        <v>0.5</v>
      </c>
      <c r="S5" s="341">
        <f>R5/($F12*$E5)</f>
        <v>1.7088174982911822E-2</v>
      </c>
      <c r="T5" s="117" t="s">
        <v>27</v>
      </c>
      <c r="U5" s="345">
        <v>0.03</v>
      </c>
      <c r="V5" s="346">
        <f>+U5*$E4*$F9</f>
        <v>0.89999999999999991</v>
      </c>
      <c r="W5" s="117" t="s">
        <v>28</v>
      </c>
      <c r="X5" s="344">
        <v>1</v>
      </c>
      <c r="Y5" s="341">
        <f>X5/($F12*$E5)</f>
        <v>3.4176349965823645E-2</v>
      </c>
      <c r="Z5" s="117" t="s">
        <v>27</v>
      </c>
      <c r="AA5" s="345">
        <v>0.03</v>
      </c>
      <c r="AB5" s="346">
        <f>+AA5*$E4*$F9</f>
        <v>0.89999999999999991</v>
      </c>
      <c r="AC5" s="117" t="s">
        <v>28</v>
      </c>
      <c r="AD5" s="344">
        <v>1</v>
      </c>
      <c r="AE5" s="341">
        <f>AD5/($F12*$E5)</f>
        <v>3.4176349965823645E-2</v>
      </c>
      <c r="AF5" s="117" t="s">
        <v>27</v>
      </c>
      <c r="AG5" s="345">
        <v>0.1</v>
      </c>
      <c r="AH5" s="346">
        <f>+AG5*$E4*$F9</f>
        <v>3</v>
      </c>
      <c r="AI5" s="117" t="s">
        <v>28</v>
      </c>
      <c r="AJ5" s="344">
        <v>3</v>
      </c>
      <c r="AK5" s="341">
        <f>AJ5/($F12*$E5)</f>
        <v>0.10252904989747094</v>
      </c>
      <c r="AL5" s="117" t="s">
        <v>27</v>
      </c>
      <c r="AM5" s="345">
        <v>0.03</v>
      </c>
      <c r="AN5" s="346">
        <f>+AM5*$E4*$F9</f>
        <v>0.89999999999999991</v>
      </c>
      <c r="AO5" s="117" t="s">
        <v>28</v>
      </c>
      <c r="AP5" s="344">
        <v>1</v>
      </c>
      <c r="AQ5" s="341">
        <f>AP5/($F12*$E5)</f>
        <v>3.4176349965823645E-2</v>
      </c>
      <c r="AR5" s="115" t="s">
        <v>27</v>
      </c>
      <c r="AS5" s="338">
        <v>7.0000000000000007E-2</v>
      </c>
      <c r="AT5" s="339">
        <f>+AS5*$E4*$F9</f>
        <v>2.1</v>
      </c>
      <c r="AU5" s="115" t="s">
        <v>28</v>
      </c>
      <c r="AV5" s="340">
        <v>2</v>
      </c>
      <c r="AW5" s="341">
        <f>AV5/($F12*$E5)</f>
        <v>6.835269993164729E-2</v>
      </c>
      <c r="AX5" s="115" t="s">
        <v>27</v>
      </c>
      <c r="AY5" s="338">
        <v>0.34</v>
      </c>
      <c r="AZ5" s="339">
        <f>+AY5*$E4*$F9</f>
        <v>10.199999999999999</v>
      </c>
      <c r="BA5" s="115" t="s">
        <v>28</v>
      </c>
      <c r="BB5" s="340">
        <v>10</v>
      </c>
      <c r="BC5" s="341">
        <f>BB5/($F12*$E5)</f>
        <v>0.34176349965823649</v>
      </c>
      <c r="BD5" s="115" t="s">
        <v>27</v>
      </c>
      <c r="BE5" s="338">
        <v>0.02</v>
      </c>
      <c r="BF5" s="339">
        <f>+BE5*$E4*$F9</f>
        <v>0.6</v>
      </c>
      <c r="BG5" s="115" t="s">
        <v>28</v>
      </c>
      <c r="BH5" s="340">
        <v>0.5</v>
      </c>
      <c r="BI5" s="341">
        <f>BH5/($F12*$E5)</f>
        <v>1.7088174982911822E-2</v>
      </c>
    </row>
    <row r="6" spans="1:61" ht="17.25" customHeight="1">
      <c r="A6" s="291" t="s">
        <v>29</v>
      </c>
      <c r="B6" s="506" t="s">
        <v>30</v>
      </c>
      <c r="C6" s="454"/>
      <c r="D6" s="455"/>
      <c r="E6" s="507">
        <f>(I4+O4+U4+AA4+AG4+AM4+AS4+AY4+BE4+BE9+AY9+AS9+I9)/2</f>
        <v>0.53</v>
      </c>
      <c r="F6" s="457"/>
      <c r="G6" s="508">
        <f>(E6+E7)</f>
        <v>0.99500000000000011</v>
      </c>
      <c r="H6" s="347" t="s">
        <v>31</v>
      </c>
      <c r="I6" s="348">
        <f>+J6/$G4</f>
        <v>2.5999999999999999E-2</v>
      </c>
      <c r="J6" s="118">
        <f>SUM(J4:J5)</f>
        <v>3.9</v>
      </c>
      <c r="K6" s="119" t="s">
        <v>31</v>
      </c>
      <c r="L6" s="349">
        <f>SUM(L4:L5)</f>
        <v>4</v>
      </c>
      <c r="M6" s="350">
        <f>L6/($F12*$G5)</f>
        <v>4.5568466621098203E-2</v>
      </c>
      <c r="N6" s="351" t="s">
        <v>31</v>
      </c>
      <c r="O6" s="352">
        <f>+P6/$G4</f>
        <v>8.0000000000000002E-3</v>
      </c>
      <c r="P6" s="120">
        <f>SUM(P4:P5)</f>
        <v>1.2</v>
      </c>
      <c r="Q6" s="121" t="s">
        <v>31</v>
      </c>
      <c r="R6" s="353">
        <f>SUM(R4:R5)</f>
        <v>1</v>
      </c>
      <c r="S6" s="350">
        <f>R6/($F12*$G5)</f>
        <v>1.1392116655274551E-2</v>
      </c>
      <c r="T6" s="354" t="s">
        <v>31</v>
      </c>
      <c r="U6" s="355">
        <f>+V6/$G4</f>
        <v>2.5999999999999999E-2</v>
      </c>
      <c r="V6" s="122">
        <f>SUM(V4:V5)</f>
        <v>3.9</v>
      </c>
      <c r="W6" s="121" t="s">
        <v>31</v>
      </c>
      <c r="X6" s="353">
        <f>SUM(X4:X5)</f>
        <v>4</v>
      </c>
      <c r="Y6" s="350">
        <f>X6/($F12*$G5)</f>
        <v>4.5568466621098203E-2</v>
      </c>
      <c r="Z6" s="354" t="s">
        <v>31</v>
      </c>
      <c r="AA6" s="355">
        <f>+AB6/$G4</f>
        <v>1.7999999999999999E-2</v>
      </c>
      <c r="AB6" s="122">
        <f>SUM(AB4:AB5)</f>
        <v>2.6999999999999997</v>
      </c>
      <c r="AC6" s="121" t="s">
        <v>31</v>
      </c>
      <c r="AD6" s="353">
        <f>SUM(AD4:AD5)</f>
        <v>3</v>
      </c>
      <c r="AE6" s="350">
        <f>AD6/($F12*$G5)</f>
        <v>3.4176349965823652E-2</v>
      </c>
      <c r="AF6" s="354" t="s">
        <v>31</v>
      </c>
      <c r="AG6" s="355">
        <f>+AH6/$G4</f>
        <v>0.06</v>
      </c>
      <c r="AH6" s="122">
        <f>SUM(AH4:AH5)</f>
        <v>9</v>
      </c>
      <c r="AI6" s="121" t="s">
        <v>31</v>
      </c>
      <c r="AJ6" s="353">
        <f>SUM(AJ4:AJ5)</f>
        <v>9</v>
      </c>
      <c r="AK6" s="350">
        <f>AJ6/($F12*$G5)</f>
        <v>0.10252904989747094</v>
      </c>
      <c r="AL6" s="354" t="s">
        <v>31</v>
      </c>
      <c r="AM6" s="355">
        <f>+AN6/$G4</f>
        <v>2.5999999999999999E-2</v>
      </c>
      <c r="AN6" s="122">
        <f>SUM(AN4:AN5)</f>
        <v>3.9</v>
      </c>
      <c r="AO6" s="121" t="s">
        <v>31</v>
      </c>
      <c r="AP6" s="353">
        <f>SUM(AP4:AP5)</f>
        <v>4</v>
      </c>
      <c r="AQ6" s="350">
        <f>AP6/($F12*$G5)</f>
        <v>4.5568466621098203E-2</v>
      </c>
      <c r="AR6" s="347" t="s">
        <v>31</v>
      </c>
      <c r="AS6" s="348">
        <f>+AT6/$G4</f>
        <v>4.2000000000000003E-2</v>
      </c>
      <c r="AT6" s="118">
        <f>SUM(AT4:AT5)</f>
        <v>6.3000000000000007</v>
      </c>
      <c r="AU6" s="119" t="s">
        <v>31</v>
      </c>
      <c r="AV6" s="349">
        <f>SUM(AV4:AV5)</f>
        <v>6</v>
      </c>
      <c r="AW6" s="350">
        <f>AV6/($F12*$G5)</f>
        <v>6.8352699931647304E-2</v>
      </c>
      <c r="AX6" s="347" t="s">
        <v>31</v>
      </c>
      <c r="AY6" s="348">
        <f>+AZ6/$G4</f>
        <v>0.24</v>
      </c>
      <c r="AZ6" s="118">
        <f>SUM(AZ4:AZ5)</f>
        <v>36</v>
      </c>
      <c r="BA6" s="119" t="s">
        <v>31</v>
      </c>
      <c r="BB6" s="349">
        <f>SUM(BB4:BB5)</f>
        <v>35</v>
      </c>
      <c r="BC6" s="350">
        <f>BB6/($F12*$G5)</f>
        <v>0.39872408293460926</v>
      </c>
      <c r="BD6" s="347" t="s">
        <v>31</v>
      </c>
      <c r="BE6" s="348">
        <f>+BF6/$G4</f>
        <v>1.1999999999999999E-2</v>
      </c>
      <c r="BF6" s="118">
        <f>SUM(BF4:BF5)</f>
        <v>1.7999999999999998</v>
      </c>
      <c r="BG6" s="119" t="s">
        <v>31</v>
      </c>
      <c r="BH6" s="349">
        <f>SUM(BH4:BH5)</f>
        <v>1.5</v>
      </c>
      <c r="BI6" s="350">
        <f>BH6/($F12*$G5)</f>
        <v>1.7088174982911826E-2</v>
      </c>
    </row>
    <row r="7" spans="1:61" ht="17.25" customHeight="1">
      <c r="A7" s="291" t="s">
        <v>33</v>
      </c>
      <c r="B7" s="509" t="s">
        <v>34</v>
      </c>
      <c r="C7" s="461"/>
      <c r="D7" s="462"/>
      <c r="E7" s="510">
        <f>(I5+O5+U5+AA5+AG5+AM5+AS5+AY5+BE5+AS10+AY10+BE10+I10)/2</f>
        <v>0.46500000000000008</v>
      </c>
      <c r="F7" s="464"/>
      <c r="G7" s="459"/>
      <c r="H7" s="511" t="str">
        <f>VLOOKUP(H3,Plancha2!A:M,2,FALSE())</f>
        <v>Poisson</v>
      </c>
      <c r="I7" s="474"/>
      <c r="J7" s="474"/>
      <c r="K7" s="357"/>
      <c r="L7" s="502">
        <f>J6</f>
        <v>3.9</v>
      </c>
      <c r="M7" s="475"/>
      <c r="N7" s="358" t="str">
        <f>VLOOKUP(N3,Friteuse!A:M,2,FALSE())</f>
        <v>Falafel</v>
      </c>
      <c r="O7" s="359"/>
      <c r="P7" s="359"/>
      <c r="Q7" s="123"/>
      <c r="R7" s="502">
        <f>VLOOKUP(N3,Friteuse!A:M,3,FALSE())*P6</f>
        <v>1.2</v>
      </c>
      <c r="S7" s="475"/>
      <c r="T7" s="356">
        <f>VLOOKUP(T3,Wok!A:M,2,FALSE())</f>
        <v>0</v>
      </c>
      <c r="U7" s="360"/>
      <c r="V7" s="360"/>
      <c r="W7" s="123"/>
      <c r="X7" s="502">
        <f>VLOOKUP(T3,Wok!A:M,3,FALSE())*V6</f>
        <v>0</v>
      </c>
      <c r="Y7" s="475"/>
      <c r="Z7" s="356" t="e">
        <f>VLOOKUP(Z3,Poele!A:M,2,FALSE())</f>
        <v>#N/A</v>
      </c>
      <c r="AA7" s="360"/>
      <c r="AB7" s="360"/>
      <c r="AC7" s="123"/>
      <c r="AD7" s="502" t="e">
        <f>VLOOKUP(Z3,Poele!A:M,3,FALSE())*AB6</f>
        <v>#N/A</v>
      </c>
      <c r="AE7" s="475"/>
      <c r="AF7" s="356" t="str">
        <f>VLOOKUP(AF3,Four!A:M,2,FALSE())</f>
        <v>Dinde sauté</v>
      </c>
      <c r="AG7" s="360"/>
      <c r="AH7" s="360"/>
      <c r="AI7" s="123"/>
      <c r="AJ7" s="502">
        <f>VLOOKUP(AF3,Four!A:M,3,FALSE())*AH6</f>
        <v>6.03</v>
      </c>
      <c r="AK7" s="475"/>
      <c r="AL7" s="356" t="str">
        <f>VLOOKUP(AL3,Four!A:M,2,FALSE())</f>
        <v>Epinard</v>
      </c>
      <c r="AM7" s="360"/>
      <c r="AN7" s="360"/>
      <c r="AO7" s="123"/>
      <c r="AP7" s="502">
        <f>VLOOKUP(AL3,Four!A:M,3,FALSE())*AN6</f>
        <v>3.12</v>
      </c>
      <c r="AQ7" s="475"/>
      <c r="AR7" s="504" t="s">
        <v>42</v>
      </c>
      <c r="AS7" s="461"/>
      <c r="AT7" s="461"/>
      <c r="AU7" s="357"/>
      <c r="AV7" s="502">
        <f>AT6</f>
        <v>6.3000000000000007</v>
      </c>
      <c r="AW7" s="475"/>
      <c r="AX7" s="501" t="s">
        <v>156</v>
      </c>
      <c r="AY7" s="471"/>
      <c r="AZ7" s="471"/>
      <c r="BA7" s="124"/>
      <c r="BB7" s="502">
        <f>AZ6</f>
        <v>36</v>
      </c>
      <c r="BC7" s="475"/>
      <c r="BD7" s="501" t="s">
        <v>157</v>
      </c>
      <c r="BE7" s="471"/>
      <c r="BF7" s="471"/>
      <c r="BG7" s="124"/>
      <c r="BH7" s="502">
        <f>BF6</f>
        <v>1.7999999999999998</v>
      </c>
      <c r="BI7" s="503"/>
    </row>
    <row r="8" spans="1:61" ht="17.25" customHeight="1">
      <c r="A8" s="291" t="s">
        <v>45</v>
      </c>
      <c r="B8" s="516" t="s">
        <v>46</v>
      </c>
      <c r="C8" s="445"/>
      <c r="D8" s="517"/>
      <c r="E8" s="518">
        <f>(L6+R6+X6+AD6+AJ6+AP6+AV6+BB6+BH6+BH11+(BB11*BB8/1000)+L11+AV11)/(G5*F12)</f>
        <v>1</v>
      </c>
      <c r="F8" s="474"/>
      <c r="G8" s="475"/>
      <c r="H8" s="487" t="s">
        <v>160</v>
      </c>
      <c r="I8" s="431"/>
      <c r="J8" s="431"/>
      <c r="K8" s="431"/>
      <c r="L8" s="431"/>
      <c r="M8" s="432"/>
      <c r="N8" s="358">
        <f>VLOOKUP(N3,Friteuse!A:M,4,FALSE())</f>
        <v>0</v>
      </c>
      <c r="O8" s="125"/>
      <c r="P8" s="125"/>
      <c r="Q8" s="125"/>
      <c r="R8" s="512">
        <f>VLOOKUP(N3,Friteuse!A:M,5,FALSE())*P6</f>
        <v>0</v>
      </c>
      <c r="S8" s="475"/>
      <c r="T8" s="356">
        <f>VLOOKUP(T3,Wok!A:M,4,FALSE())</f>
        <v>0</v>
      </c>
      <c r="U8" s="123"/>
      <c r="V8" s="123"/>
      <c r="W8" s="123"/>
      <c r="X8" s="512">
        <f>VLOOKUP(T3,Wok!A:M,5,FALSE())*V6</f>
        <v>0</v>
      </c>
      <c r="Y8" s="475"/>
      <c r="Z8" s="356" t="e">
        <f>VLOOKUP(Z3,Poele!A:M,4,FALSE())</f>
        <v>#N/A</v>
      </c>
      <c r="AA8" s="123"/>
      <c r="AB8" s="123"/>
      <c r="AC8" s="123"/>
      <c r="AD8" s="512" t="e">
        <f>VLOOKUP(Z3,Poele!A:M,5,FALSE())*AB6</f>
        <v>#N/A</v>
      </c>
      <c r="AE8" s="475"/>
      <c r="AF8" s="356" t="str">
        <f>VLOOKUP(AF3,Four!A:M,4,FALSE())</f>
        <v>Carottes</v>
      </c>
      <c r="AG8" s="123"/>
      <c r="AH8" s="123"/>
      <c r="AI8" s="123"/>
      <c r="AJ8" s="512">
        <f>VLOOKUP(AF3,Four!A:M,5,FALSE())*AH6</f>
        <v>0.54</v>
      </c>
      <c r="AK8" s="475"/>
      <c r="AL8" s="356" t="str">
        <f>VLOOKUP(AL3,Four!A:M,4,FALSE())</f>
        <v>Bechamel</v>
      </c>
      <c r="AM8" s="123"/>
      <c r="AN8" s="123"/>
      <c r="AO8" s="123"/>
      <c r="AP8" s="512">
        <f>VLOOKUP(AL3,Four!A:M,5,FALSE())*AN6</f>
        <v>0.78</v>
      </c>
      <c r="AQ8" s="475"/>
      <c r="AR8" s="481" t="s">
        <v>54</v>
      </c>
      <c r="AS8" s="431"/>
      <c r="AT8" s="431"/>
      <c r="AU8" s="431"/>
      <c r="AV8" s="431"/>
      <c r="AW8" s="432"/>
      <c r="AX8" s="481" t="s">
        <v>55</v>
      </c>
      <c r="AY8" s="431"/>
      <c r="AZ8" s="431"/>
      <c r="BA8" s="431"/>
      <c r="BB8" s="527">
        <v>60</v>
      </c>
      <c r="BC8" s="432"/>
      <c r="BD8" s="483" t="s">
        <v>163</v>
      </c>
      <c r="BE8" s="431"/>
      <c r="BF8" s="431"/>
      <c r="BG8" s="431"/>
      <c r="BH8" s="431"/>
      <c r="BI8" s="484"/>
    </row>
    <row r="9" spans="1:61" ht="17.25" customHeight="1">
      <c r="A9" s="291" t="s">
        <v>56</v>
      </c>
      <c r="B9" s="513" t="s">
        <v>158</v>
      </c>
      <c r="C9" s="445"/>
      <c r="D9" s="445"/>
      <c r="E9" s="445"/>
      <c r="F9" s="514">
        <v>0.6</v>
      </c>
      <c r="G9" s="446"/>
      <c r="H9" s="333" t="s">
        <v>23</v>
      </c>
      <c r="I9" s="105">
        <v>7.0000000000000007E-2</v>
      </c>
      <c r="J9" s="106">
        <f>+I9*$C4*$F$9</f>
        <v>4.2</v>
      </c>
      <c r="K9" s="333" t="s">
        <v>24</v>
      </c>
      <c r="L9" s="107">
        <v>4</v>
      </c>
      <c r="M9" s="334">
        <f>L9/($F12*$C5)</f>
        <v>6.835269993164729E-2</v>
      </c>
      <c r="N9" s="358">
        <f>VLOOKUP(N3,Friteuse!A:M,6,FALSE())</f>
        <v>0</v>
      </c>
      <c r="O9" s="125"/>
      <c r="P9" s="125"/>
      <c r="Q9" s="125"/>
      <c r="R9" s="512">
        <f>VLOOKUP(N3,Friteuse!A:M,7,FALSE())*P6</f>
        <v>0</v>
      </c>
      <c r="S9" s="475"/>
      <c r="T9" s="356">
        <f>VLOOKUP(T3,Wok!A:M,6,FALSE())</f>
        <v>0</v>
      </c>
      <c r="U9" s="123"/>
      <c r="V9" s="123"/>
      <c r="W9" s="123"/>
      <c r="X9" s="512">
        <f>VLOOKUP(T3,Wok!A:M,7,FALSE())*V6</f>
        <v>0</v>
      </c>
      <c r="Y9" s="475"/>
      <c r="Z9" s="356" t="e">
        <f>VLOOKUP(Z3,Poele!A:M,6,FALSE())</f>
        <v>#N/A</v>
      </c>
      <c r="AA9" s="123"/>
      <c r="AB9" s="123"/>
      <c r="AC9" s="123"/>
      <c r="AD9" s="512" t="e">
        <f>VLOOKUP(Z3,Poele!A:M,7,FALSE())*AB6</f>
        <v>#N/A</v>
      </c>
      <c r="AE9" s="475"/>
      <c r="AF9" s="356" t="str">
        <f>VLOOKUP(AF3,Four!A:M,6,FALSE())</f>
        <v>Poireaux</v>
      </c>
      <c r="AG9" s="123"/>
      <c r="AH9" s="123"/>
      <c r="AI9" s="123"/>
      <c r="AJ9" s="512">
        <f>VLOOKUP(AF3,Four!A:M,7,FALSE())*AH6</f>
        <v>0.54</v>
      </c>
      <c r="AK9" s="475"/>
      <c r="AL9" s="356">
        <f>VLOOKUP(AL3,Four!A:M,6,FALSE())</f>
        <v>0</v>
      </c>
      <c r="AM9" s="123"/>
      <c r="AN9" s="123"/>
      <c r="AO9" s="123"/>
      <c r="AP9" s="512">
        <f>VLOOKUP(AL3,Four!A:M,7,FALSE())*AN6</f>
        <v>0</v>
      </c>
      <c r="AQ9" s="475"/>
      <c r="AR9" s="333" t="s">
        <v>23</v>
      </c>
      <c r="AS9" s="105">
        <v>0.08</v>
      </c>
      <c r="AT9" s="106">
        <f>+AS9*$C4*$F$9</f>
        <v>4.8</v>
      </c>
      <c r="AU9" s="333" t="s">
        <v>24</v>
      </c>
      <c r="AV9" s="107">
        <v>4</v>
      </c>
      <c r="AW9" s="334">
        <f>AV9/($F12*$C5)</f>
        <v>6.835269993164729E-2</v>
      </c>
      <c r="AX9" s="361" t="s">
        <v>23</v>
      </c>
      <c r="AY9" s="105">
        <v>0.03</v>
      </c>
      <c r="AZ9" s="126">
        <f>AY9*C4*F9/(BB8/1000)</f>
        <v>29.999999999999996</v>
      </c>
      <c r="BA9" s="333" t="s">
        <v>24</v>
      </c>
      <c r="BB9" s="127">
        <v>25</v>
      </c>
      <c r="BC9" s="334">
        <f>(BB9*BB8/1000)/($F12*$C5)</f>
        <v>2.5632262474367735E-2</v>
      </c>
      <c r="BD9" s="333" t="s">
        <v>23</v>
      </c>
      <c r="BE9" s="105">
        <v>7.0000000000000007E-2</v>
      </c>
      <c r="BF9" s="106">
        <f>+BE9*$C4*$F$9</f>
        <v>4.2</v>
      </c>
      <c r="BG9" s="333" t="s">
        <v>24</v>
      </c>
      <c r="BH9" s="107">
        <v>4</v>
      </c>
      <c r="BI9" s="334">
        <f>BH9/($F12*$C5)</f>
        <v>6.835269993164729E-2</v>
      </c>
    </row>
    <row r="10" spans="1:61" ht="17.25" customHeight="1">
      <c r="A10" s="278"/>
      <c r="B10" s="515" t="s">
        <v>178</v>
      </c>
      <c r="C10" s="445"/>
      <c r="D10" s="445"/>
      <c r="E10" s="446"/>
      <c r="F10" s="362">
        <f>(L4+R4+L9+X4+AD4+AJ4+AP4+AV4+AV9+BB4+BB9*(BB8/1000)+BH4+BH9)/C5</f>
        <v>0.61</v>
      </c>
      <c r="G10" s="363">
        <f>F10/(F10+F11)</f>
        <v>0.5324720670391061</v>
      </c>
      <c r="H10" s="115" t="s">
        <v>27</v>
      </c>
      <c r="I10" s="338">
        <v>7.0000000000000007E-2</v>
      </c>
      <c r="J10" s="339">
        <f>+I10*$E4*$F9</f>
        <v>2.1</v>
      </c>
      <c r="K10" s="115" t="s">
        <v>28</v>
      </c>
      <c r="L10" s="340">
        <v>2</v>
      </c>
      <c r="M10" s="341">
        <f>L10/($F12*$E5)</f>
        <v>6.835269993164729E-2</v>
      </c>
      <c r="N10" s="356">
        <f>VLOOKUP(N3,Friteuse!A:M,8,FALSE())</f>
        <v>0</v>
      </c>
      <c r="O10" s="125"/>
      <c r="P10" s="125"/>
      <c r="Q10" s="125"/>
      <c r="R10" s="512">
        <f>VLOOKUP(N3,Friteuse!A:M,9,FALSE())*P6</f>
        <v>0</v>
      </c>
      <c r="S10" s="475"/>
      <c r="T10" s="356">
        <f>VLOOKUP(T3,Wok!A:M,8,FALSE())</f>
        <v>0</v>
      </c>
      <c r="U10" s="123"/>
      <c r="V10" s="123"/>
      <c r="W10" s="123"/>
      <c r="X10" s="512">
        <f>VLOOKUP(T3,Wok!A:M,9,FALSE())*V6</f>
        <v>0</v>
      </c>
      <c r="Y10" s="475"/>
      <c r="Z10" s="356" t="e">
        <f>VLOOKUP(Z3,Poele!A:M,8,FALSE())</f>
        <v>#N/A</v>
      </c>
      <c r="AA10" s="123"/>
      <c r="AB10" s="123"/>
      <c r="AC10" s="123"/>
      <c r="AD10" s="512" t="e">
        <f>VLOOKUP(Z3,Poele!A:M,9,FALSE())*AB6</f>
        <v>#N/A</v>
      </c>
      <c r="AE10" s="475"/>
      <c r="AF10" s="356" t="str">
        <f>VLOOKUP(AF3,Four!A:M,8,FALSE())</f>
        <v>Celeri</v>
      </c>
      <c r="AG10" s="123"/>
      <c r="AH10" s="123"/>
      <c r="AI10" s="123"/>
      <c r="AJ10" s="512">
        <f>VLOOKUP(AF3,Four!A:M,9,FALSE())*AH6</f>
        <v>0.54</v>
      </c>
      <c r="AK10" s="475"/>
      <c r="AL10" s="356">
        <f>VLOOKUP(AL3,Four!A:M,8,FALSE())</f>
        <v>0</v>
      </c>
      <c r="AM10" s="123"/>
      <c r="AN10" s="123"/>
      <c r="AO10" s="123"/>
      <c r="AP10" s="512">
        <f>VLOOKUP(AL3,Four!A:M,9,FALSE())*AN6</f>
        <v>0</v>
      </c>
      <c r="AQ10" s="475"/>
      <c r="AR10" s="115" t="s">
        <v>27</v>
      </c>
      <c r="AS10" s="338">
        <v>0.09</v>
      </c>
      <c r="AT10" s="339">
        <f>+AS10*$E4*$F9</f>
        <v>2.6999999999999997</v>
      </c>
      <c r="AU10" s="115" t="s">
        <v>28</v>
      </c>
      <c r="AV10" s="340">
        <v>2</v>
      </c>
      <c r="AW10" s="341">
        <f>AV10/($F12*$E5)</f>
        <v>6.835269993164729E-2</v>
      </c>
      <c r="AX10" s="128" t="s">
        <v>27</v>
      </c>
      <c r="AY10" s="338">
        <v>0.03</v>
      </c>
      <c r="AZ10" s="364">
        <f>AY10*E4*F9/(BB8/1000)</f>
        <v>14.999999999999998</v>
      </c>
      <c r="BA10" s="115" t="s">
        <v>28</v>
      </c>
      <c r="BB10" s="365">
        <v>13</v>
      </c>
      <c r="BC10" s="341">
        <f>(BB10*BB8/1000)/($F12*$E5)</f>
        <v>2.6657552973342446E-2</v>
      </c>
      <c r="BD10" s="115" t="s">
        <v>27</v>
      </c>
      <c r="BE10" s="338">
        <v>7.0000000000000007E-2</v>
      </c>
      <c r="BF10" s="339">
        <f>+BE10*$E4*$F9</f>
        <v>2.1</v>
      </c>
      <c r="BG10" s="115" t="s">
        <v>28</v>
      </c>
      <c r="BH10" s="340">
        <v>2</v>
      </c>
      <c r="BI10" s="341">
        <f>BH10/($F12*$E5)</f>
        <v>6.835269993164729E-2</v>
      </c>
    </row>
    <row r="11" spans="1:61" ht="17.25" customHeight="1">
      <c r="A11" s="278"/>
      <c r="B11" s="447"/>
      <c r="C11" s="434"/>
      <c r="D11" s="434"/>
      <c r="E11" s="435"/>
      <c r="F11" s="366">
        <f>(L5+L10+R5+X5+AD5+AJ5+AP5+AV5+AV10+BB5+BB10*(BB8/1000)+BH10+BH5)/E5</f>
        <v>0.53560000000000008</v>
      </c>
      <c r="G11" s="367">
        <f>F11/(F10+F11)</f>
        <v>0.46752793296089395</v>
      </c>
      <c r="H11" s="347" t="s">
        <v>31</v>
      </c>
      <c r="I11" s="348">
        <f>+J11/$G4</f>
        <v>4.2000000000000003E-2</v>
      </c>
      <c r="J11" s="118">
        <f>SUM(J9:J10)</f>
        <v>6.3000000000000007</v>
      </c>
      <c r="K11" s="119" t="s">
        <v>31</v>
      </c>
      <c r="L11" s="349">
        <f>SUM(L9:L10)</f>
        <v>6</v>
      </c>
      <c r="M11" s="350">
        <f>L11/($F12*$G5)</f>
        <v>6.8352699931647304E-2</v>
      </c>
      <c r="N11" s="356">
        <f>VLOOKUP(N3,Friteuse!A:M,10,FALSE())</f>
        <v>0</v>
      </c>
      <c r="O11" s="124"/>
      <c r="P11" s="124"/>
      <c r="Q11" s="124"/>
      <c r="R11" s="512">
        <f>VLOOKUP(N3,Friteuse!A:M,11,FALSE())*P6</f>
        <v>0</v>
      </c>
      <c r="S11" s="475"/>
      <c r="T11" s="356">
        <f>VLOOKUP(T3,Wok!A:M,10,FALSE())</f>
        <v>0</v>
      </c>
      <c r="U11" s="129"/>
      <c r="V11" s="129"/>
      <c r="W11" s="129"/>
      <c r="X11" s="512">
        <f>VLOOKUP(T3,Wok!A:M,11,FALSE())*V6</f>
        <v>0</v>
      </c>
      <c r="Y11" s="475"/>
      <c r="Z11" s="356" t="e">
        <f>VLOOKUP(Z3,Poele!A:M,10,FALSE())</f>
        <v>#N/A</v>
      </c>
      <c r="AA11" s="129"/>
      <c r="AB11" s="129"/>
      <c r="AC11" s="129"/>
      <c r="AD11" s="512" t="e">
        <f>VLOOKUP(Z3,Poele!A:M,11,FALSE())*AB6</f>
        <v>#N/A</v>
      </c>
      <c r="AE11" s="475"/>
      <c r="AF11" s="356" t="str">
        <f>VLOOKUP(AF3,Four!A:M,10,FALSE())</f>
        <v>Champignons</v>
      </c>
      <c r="AG11" s="129"/>
      <c r="AH11" s="129"/>
      <c r="AI11" s="129"/>
      <c r="AJ11" s="512">
        <f>VLOOKUP(AF3,Four!A:M,11,FALSE())*AH6</f>
        <v>0.80999999999999994</v>
      </c>
      <c r="AK11" s="475"/>
      <c r="AL11" s="356">
        <f>VLOOKUP(AL3,Four!A:M,10,FALSE())</f>
        <v>0</v>
      </c>
      <c r="AM11" s="129"/>
      <c r="AN11" s="129"/>
      <c r="AO11" s="129"/>
      <c r="AP11" s="512">
        <f>VLOOKUP(AL3,Four!A:M,11,FALSE())*AN6</f>
        <v>0</v>
      </c>
      <c r="AQ11" s="475"/>
      <c r="AR11" s="347" t="s">
        <v>31</v>
      </c>
      <c r="AS11" s="348">
        <f>+AT11/$G4</f>
        <v>0.05</v>
      </c>
      <c r="AT11" s="118">
        <f>SUM(AT9:AT10)</f>
        <v>7.5</v>
      </c>
      <c r="AU11" s="119" t="s">
        <v>31</v>
      </c>
      <c r="AV11" s="349">
        <f>SUM(AV9:AV10)</f>
        <v>6</v>
      </c>
      <c r="AW11" s="350">
        <f>AV11/($F12*$G5)</f>
        <v>6.8352699931647304E-2</v>
      </c>
      <c r="AX11" s="368" t="s">
        <v>31</v>
      </c>
      <c r="AY11" s="348"/>
      <c r="AZ11" s="130">
        <f>SUM(AZ9:AZ10)</f>
        <v>44.999999999999993</v>
      </c>
      <c r="BA11" s="119" t="s">
        <v>31</v>
      </c>
      <c r="BB11" s="369">
        <f>SUM(BB9:BB10)</f>
        <v>38</v>
      </c>
      <c r="BC11" s="350">
        <f>(BB11*BB8/1000)/($F12*$G5)</f>
        <v>2.5974025974025972E-2</v>
      </c>
      <c r="BD11" s="347" t="s">
        <v>31</v>
      </c>
      <c r="BE11" s="348">
        <f>+BF11/$G4</f>
        <v>4.2000000000000003E-2</v>
      </c>
      <c r="BF11" s="118">
        <f>SUM(BF9:BF10)</f>
        <v>6.3000000000000007</v>
      </c>
      <c r="BG11" s="119" t="s">
        <v>31</v>
      </c>
      <c r="BH11" s="349">
        <f>SUM(BH9:BH10)</f>
        <v>6</v>
      </c>
      <c r="BI11" s="350">
        <f>BH11/($F12*$G5)</f>
        <v>6.8352699931647304E-2</v>
      </c>
    </row>
    <row r="12" spans="1:61" ht="17.25" customHeight="1">
      <c r="A12" s="291"/>
      <c r="B12" s="525" t="s">
        <v>159</v>
      </c>
      <c r="C12" s="431"/>
      <c r="D12" s="431"/>
      <c r="E12" s="432"/>
      <c r="F12" s="526">
        <f>(L6+L11+R6+X6+AD6+AJ6+AP6+AV6+AV11+BB11*BB8/1000+BB6+BH6+BH11)/G5</f>
        <v>0.58520000000000005</v>
      </c>
      <c r="G12" s="435"/>
      <c r="H12" s="356" t="str">
        <f>VLOOKUP(H8,Plancha2!A:M,2,FALSE())</f>
        <v>Lamelle encornet</v>
      </c>
      <c r="I12" s="131"/>
      <c r="J12" s="124"/>
      <c r="K12" s="124"/>
      <c r="L12" s="502">
        <f>J11</f>
        <v>6.3000000000000007</v>
      </c>
      <c r="M12" s="475"/>
      <c r="N12" s="356">
        <f>VLOOKUP(N3,Friteuse!A:M,12,FALSE())</f>
        <v>0</v>
      </c>
      <c r="O12" s="357"/>
      <c r="P12" s="357"/>
      <c r="Q12" s="357"/>
      <c r="R12" s="505">
        <f>VLOOKUP(N3,Friteuse!A:M,13,FALSE())*P6</f>
        <v>0</v>
      </c>
      <c r="S12" s="435"/>
      <c r="T12" s="356">
        <f>VLOOKUP(T3,Wok!A:M,12,FALSE())</f>
        <v>0</v>
      </c>
      <c r="U12" s="370"/>
      <c r="V12" s="370"/>
      <c r="W12" s="370"/>
      <c r="X12" s="505">
        <f>VLOOKUP(T3,Wok!A:M,13,FALSE())*V6</f>
        <v>0</v>
      </c>
      <c r="Y12" s="435"/>
      <c r="Z12" s="356" t="e">
        <f>VLOOKUP(Z3,Poele!A:M,12,FALSE())</f>
        <v>#N/A</v>
      </c>
      <c r="AA12" s="370"/>
      <c r="AB12" s="370"/>
      <c r="AC12" s="370"/>
      <c r="AD12" s="505" t="e">
        <f>VLOOKUP(Z3,Poele!A:M,13,FALSE())*AB6</f>
        <v>#N/A</v>
      </c>
      <c r="AE12" s="435"/>
      <c r="AF12" s="356" t="str">
        <f>VLOOKUP(AF3,Four!A:M,12,FALSE())</f>
        <v>Oignons</v>
      </c>
      <c r="AG12" s="370"/>
      <c r="AH12" s="370"/>
      <c r="AI12" s="370"/>
      <c r="AJ12" s="505">
        <f>VLOOKUP(AF3,Four!A:M,13,FALSE())*AH6</f>
        <v>0.54</v>
      </c>
      <c r="AK12" s="435"/>
      <c r="AL12" s="356">
        <f>VLOOKUP(AL3,Four!A:M,12,FALSE())</f>
        <v>0</v>
      </c>
      <c r="AM12" s="370"/>
      <c r="AN12" s="370"/>
      <c r="AO12" s="370"/>
      <c r="AP12" s="505">
        <f>VLOOKUP(AL3,Four!A:M,13,FALSE())*AN6</f>
        <v>0</v>
      </c>
      <c r="AQ12" s="435"/>
      <c r="AR12" s="371" t="s">
        <v>74</v>
      </c>
      <c r="AS12" s="131"/>
      <c r="AT12" s="124"/>
      <c r="AU12" s="124"/>
      <c r="AV12" s="502">
        <f>AT11</f>
        <v>7.5</v>
      </c>
      <c r="AW12" s="475"/>
      <c r="AX12" s="504" t="s">
        <v>75</v>
      </c>
      <c r="AY12" s="461"/>
      <c r="AZ12" s="461"/>
      <c r="BA12" s="372"/>
      <c r="BB12" s="502">
        <f>AZ11*(BB8/1000)</f>
        <v>2.6999999999999993</v>
      </c>
      <c r="BC12" s="475"/>
      <c r="BD12" s="524" t="s">
        <v>115</v>
      </c>
      <c r="BE12" s="461"/>
      <c r="BF12" s="461"/>
      <c r="BG12" s="372"/>
      <c r="BH12" s="502">
        <f>BF11</f>
        <v>6.3000000000000007</v>
      </c>
      <c r="BI12" s="503"/>
    </row>
    <row r="13" spans="1:61" ht="17.25" customHeight="1">
      <c r="A13" s="55">
        <f>A3+1</f>
        <v>45307</v>
      </c>
      <c r="B13" s="520" t="s">
        <v>8</v>
      </c>
      <c r="C13" s="435"/>
      <c r="D13" s="520" t="s">
        <v>9</v>
      </c>
      <c r="E13" s="435"/>
      <c r="F13" s="83" t="s">
        <v>10</v>
      </c>
      <c r="G13" s="312"/>
      <c r="H13" s="521" t="s">
        <v>149</v>
      </c>
      <c r="I13" s="431"/>
      <c r="J13" s="431"/>
      <c r="K13" s="431"/>
      <c r="L13" s="431"/>
      <c r="M13" s="432"/>
      <c r="N13" s="522" t="s">
        <v>192</v>
      </c>
      <c r="O13" s="431"/>
      <c r="P13" s="431"/>
      <c r="Q13" s="431"/>
      <c r="R13" s="431"/>
      <c r="S13" s="432"/>
      <c r="T13" s="523" t="s">
        <v>278</v>
      </c>
      <c r="U13" s="431"/>
      <c r="V13" s="431"/>
      <c r="W13" s="431"/>
      <c r="X13" s="431"/>
      <c r="Y13" s="432"/>
      <c r="Z13" s="523" t="s">
        <v>222</v>
      </c>
      <c r="AA13" s="431"/>
      <c r="AB13" s="431"/>
      <c r="AC13" s="431"/>
      <c r="AD13" s="431"/>
      <c r="AE13" s="432"/>
      <c r="AF13" s="519" t="s">
        <v>277</v>
      </c>
      <c r="AG13" s="431"/>
      <c r="AH13" s="431"/>
      <c r="AI13" s="431"/>
      <c r="AJ13" s="431"/>
      <c r="AK13" s="432"/>
      <c r="AL13" s="519" t="s">
        <v>224</v>
      </c>
      <c r="AM13" s="431"/>
      <c r="AN13" s="431"/>
      <c r="AO13" s="431"/>
      <c r="AP13" s="431"/>
      <c r="AQ13" s="432"/>
      <c r="AR13" s="481" t="s">
        <v>18</v>
      </c>
      <c r="AS13" s="431"/>
      <c r="AT13" s="431"/>
      <c r="AU13" s="431"/>
      <c r="AV13" s="431"/>
      <c r="AW13" s="432"/>
      <c r="AX13" s="482" t="s">
        <v>154</v>
      </c>
      <c r="AY13" s="434"/>
      <c r="AZ13" s="434"/>
      <c r="BA13" s="434"/>
      <c r="BB13" s="434"/>
      <c r="BC13" s="435"/>
      <c r="BD13" s="483" t="s">
        <v>155</v>
      </c>
      <c r="BE13" s="431"/>
      <c r="BF13" s="431"/>
      <c r="BG13" s="431"/>
      <c r="BH13" s="431"/>
      <c r="BI13" s="484"/>
    </row>
    <row r="14" spans="1:61" ht="17.25" customHeight="1">
      <c r="A14" s="269"/>
      <c r="B14" s="270" t="s">
        <v>22</v>
      </c>
      <c r="C14" s="271">
        <v>100</v>
      </c>
      <c r="D14" s="270" t="s">
        <v>22</v>
      </c>
      <c r="E14" s="272">
        <v>50</v>
      </c>
      <c r="F14" s="270" t="s">
        <v>22</v>
      </c>
      <c r="G14" s="56">
        <f t="shared" ref="G14:G15" si="1">+C14+E14</f>
        <v>150</v>
      </c>
      <c r="H14" s="276" t="s">
        <v>23</v>
      </c>
      <c r="I14" s="62">
        <v>0.05</v>
      </c>
      <c r="J14" s="63">
        <f>+I14*$C14*$F19</f>
        <v>3</v>
      </c>
      <c r="K14" s="276" t="s">
        <v>24</v>
      </c>
      <c r="L14" s="64">
        <v>3</v>
      </c>
      <c r="M14" s="277">
        <f>L14/($F22*$C15)</f>
        <v>5.1264524948735471E-2</v>
      </c>
      <c r="N14" s="273" t="s">
        <v>23</v>
      </c>
      <c r="O14" s="57">
        <v>0.01</v>
      </c>
      <c r="P14" s="58">
        <f>+O14*$C14*$F19</f>
        <v>0.6</v>
      </c>
      <c r="Q14" s="273" t="s">
        <v>24</v>
      </c>
      <c r="R14" s="84">
        <v>0.5</v>
      </c>
      <c r="S14" s="313">
        <f>R14/($F22*$C15)</f>
        <v>8.5440874914559112E-3</v>
      </c>
      <c r="T14" s="274" t="s">
        <v>23</v>
      </c>
      <c r="U14" s="60">
        <v>0.05</v>
      </c>
      <c r="V14" s="61">
        <f>+U14*$C14*$F19</f>
        <v>3</v>
      </c>
      <c r="W14" s="274" t="s">
        <v>24</v>
      </c>
      <c r="X14" s="59">
        <v>3</v>
      </c>
      <c r="Y14" s="275">
        <f>X14/($F22*$C15)</f>
        <v>5.1264524948735471E-2</v>
      </c>
      <c r="Z14" s="274" t="s">
        <v>23</v>
      </c>
      <c r="AA14" s="60">
        <v>0.03</v>
      </c>
      <c r="AB14" s="61">
        <f>+AA14*$C14*$F19</f>
        <v>1.7999999999999998</v>
      </c>
      <c r="AC14" s="274" t="s">
        <v>24</v>
      </c>
      <c r="AD14" s="59">
        <v>2</v>
      </c>
      <c r="AE14" s="275">
        <f>AD14/($F22*$C15)</f>
        <v>3.4176349965823645E-2</v>
      </c>
      <c r="AF14" s="274" t="s">
        <v>23</v>
      </c>
      <c r="AG14" s="60">
        <v>0.1</v>
      </c>
      <c r="AH14" s="61">
        <f>+AG14*$C14*$F19</f>
        <v>6</v>
      </c>
      <c r="AI14" s="274" t="s">
        <v>24</v>
      </c>
      <c r="AJ14" s="59">
        <v>6</v>
      </c>
      <c r="AK14" s="275">
        <f>AJ14/($F22*$C15)</f>
        <v>0.10252904989747094</v>
      </c>
      <c r="AL14" s="274" t="s">
        <v>23</v>
      </c>
      <c r="AM14" s="60">
        <v>0.05</v>
      </c>
      <c r="AN14" s="61">
        <f>+AM14*$C14*$F19</f>
        <v>3</v>
      </c>
      <c r="AO14" s="274" t="s">
        <v>24</v>
      </c>
      <c r="AP14" s="59">
        <v>3</v>
      </c>
      <c r="AQ14" s="275">
        <f>AP14/($F22*$C15)</f>
        <v>5.1264524948735471E-2</v>
      </c>
      <c r="AR14" s="276" t="s">
        <v>23</v>
      </c>
      <c r="AS14" s="62">
        <v>0.08</v>
      </c>
      <c r="AT14" s="63">
        <f>+AS14*$C14*$F19</f>
        <v>4.8</v>
      </c>
      <c r="AU14" s="276" t="s">
        <v>24</v>
      </c>
      <c r="AV14" s="64">
        <v>4</v>
      </c>
      <c r="AW14" s="277">
        <f>AV14/($F22*$C15)</f>
        <v>6.835269993164729E-2</v>
      </c>
      <c r="AX14" s="276" t="s">
        <v>23</v>
      </c>
      <c r="AY14" s="62">
        <v>0.43</v>
      </c>
      <c r="AZ14" s="63">
        <f>+AY14*$C14*$F19</f>
        <v>25.8</v>
      </c>
      <c r="BA14" s="276" t="s">
        <v>24</v>
      </c>
      <c r="BB14" s="64">
        <v>25</v>
      </c>
      <c r="BC14" s="277">
        <f>BB14/($F22*$C15)</f>
        <v>0.42720437457279559</v>
      </c>
      <c r="BD14" s="276" t="s">
        <v>23</v>
      </c>
      <c r="BE14" s="62">
        <v>0.02</v>
      </c>
      <c r="BF14" s="63">
        <f>+BE14*$C14*$F19</f>
        <v>1.2</v>
      </c>
      <c r="BG14" s="276" t="s">
        <v>24</v>
      </c>
      <c r="BH14" s="64">
        <v>1</v>
      </c>
      <c r="BI14" s="65">
        <f>BH14/($F22*$C15)</f>
        <v>1.7088174982911822E-2</v>
      </c>
    </row>
    <row r="15" spans="1:61" ht="17.25" customHeight="1">
      <c r="A15" s="278" t="s">
        <v>79</v>
      </c>
      <c r="B15" s="266" t="s">
        <v>26</v>
      </c>
      <c r="C15" s="66">
        <v>100</v>
      </c>
      <c r="D15" s="266" t="s">
        <v>26</v>
      </c>
      <c r="E15" s="67">
        <v>50</v>
      </c>
      <c r="F15" s="266" t="s">
        <v>26</v>
      </c>
      <c r="G15" s="279">
        <f t="shared" si="1"/>
        <v>150</v>
      </c>
      <c r="H15" s="70" t="s">
        <v>27</v>
      </c>
      <c r="I15" s="286">
        <v>0.03</v>
      </c>
      <c r="J15" s="287">
        <f>+I15*$E14*$F19</f>
        <v>0.89999999999999991</v>
      </c>
      <c r="K15" s="70" t="s">
        <v>28</v>
      </c>
      <c r="L15" s="288">
        <v>1</v>
      </c>
      <c r="M15" s="289">
        <f>L15/($F22*$E15)</f>
        <v>3.4176349965823645E-2</v>
      </c>
      <c r="N15" s="68" t="s">
        <v>27</v>
      </c>
      <c r="O15" s="280">
        <v>0.02</v>
      </c>
      <c r="P15" s="281">
        <f>+O15*$E14*$F19</f>
        <v>0.6</v>
      </c>
      <c r="Q15" s="68" t="s">
        <v>28</v>
      </c>
      <c r="R15" s="314">
        <v>0.5</v>
      </c>
      <c r="S15" s="315">
        <f>R15/($F22*$E15)</f>
        <v>1.7088174982911822E-2</v>
      </c>
      <c r="T15" s="69" t="s">
        <v>27</v>
      </c>
      <c r="U15" s="284">
        <v>0.03</v>
      </c>
      <c r="V15" s="285">
        <f>+U15*$E14*$F19</f>
        <v>0.89999999999999991</v>
      </c>
      <c r="W15" s="69" t="s">
        <v>28</v>
      </c>
      <c r="X15" s="282">
        <v>1</v>
      </c>
      <c r="Y15" s="283">
        <f>X15/($F22*$E15)</f>
        <v>3.4176349965823645E-2</v>
      </c>
      <c r="Z15" s="69" t="s">
        <v>27</v>
      </c>
      <c r="AA15" s="284">
        <v>0.03</v>
      </c>
      <c r="AB15" s="285">
        <f>+AA15*$E14*$F19</f>
        <v>0.89999999999999991</v>
      </c>
      <c r="AC15" s="69" t="s">
        <v>28</v>
      </c>
      <c r="AD15" s="282">
        <v>1</v>
      </c>
      <c r="AE15" s="283">
        <f>AD15/($F22*$E15)</f>
        <v>3.4176349965823645E-2</v>
      </c>
      <c r="AF15" s="69" t="s">
        <v>27</v>
      </c>
      <c r="AG15" s="284">
        <v>0.1</v>
      </c>
      <c r="AH15" s="285">
        <f>+AG15*$E14*$F19</f>
        <v>3</v>
      </c>
      <c r="AI15" s="69" t="s">
        <v>28</v>
      </c>
      <c r="AJ15" s="282">
        <v>3</v>
      </c>
      <c r="AK15" s="283">
        <f>AJ15/($F22*$E15)</f>
        <v>0.10252904989747094</v>
      </c>
      <c r="AL15" s="69" t="s">
        <v>27</v>
      </c>
      <c r="AM15" s="284">
        <v>0.03</v>
      </c>
      <c r="AN15" s="285">
        <f>+AM15*$E14*$F19</f>
        <v>0.89999999999999991</v>
      </c>
      <c r="AO15" s="69" t="s">
        <v>28</v>
      </c>
      <c r="AP15" s="282">
        <v>1</v>
      </c>
      <c r="AQ15" s="283">
        <f>AP15/($F22*$E15)</f>
        <v>3.4176349965823645E-2</v>
      </c>
      <c r="AR15" s="70" t="s">
        <v>27</v>
      </c>
      <c r="AS15" s="286">
        <v>0.09</v>
      </c>
      <c r="AT15" s="287">
        <f>+AS15*$E14*$F19</f>
        <v>2.6999999999999997</v>
      </c>
      <c r="AU15" s="70" t="s">
        <v>28</v>
      </c>
      <c r="AV15" s="288">
        <v>2</v>
      </c>
      <c r="AW15" s="289">
        <f>AV15/($F22*$E15)</f>
        <v>6.835269993164729E-2</v>
      </c>
      <c r="AX15" s="70" t="s">
        <v>27</v>
      </c>
      <c r="AY15" s="286">
        <v>0.34</v>
      </c>
      <c r="AZ15" s="287">
        <f>+AY15*$E14*$F19</f>
        <v>10.199999999999999</v>
      </c>
      <c r="BA15" s="70" t="s">
        <v>28</v>
      </c>
      <c r="BB15" s="288">
        <v>10</v>
      </c>
      <c r="BC15" s="289">
        <f>BB15/($F22*$E15)</f>
        <v>0.34176349965823649</v>
      </c>
      <c r="BD15" s="70" t="s">
        <v>27</v>
      </c>
      <c r="BE15" s="286">
        <v>0.02</v>
      </c>
      <c r="BF15" s="287">
        <f>+BE15*$E14*$F19</f>
        <v>0.6</v>
      </c>
      <c r="BG15" s="70" t="s">
        <v>28</v>
      </c>
      <c r="BH15" s="288">
        <v>0.5</v>
      </c>
      <c r="BI15" s="290">
        <f>BH15/($F22*$E15)</f>
        <v>1.7088174982911822E-2</v>
      </c>
    </row>
    <row r="16" spans="1:61" ht="17.25" customHeight="1">
      <c r="A16" s="291" t="s">
        <v>80</v>
      </c>
      <c r="B16" s="532" t="s">
        <v>30</v>
      </c>
      <c r="C16" s="454"/>
      <c r="D16" s="455"/>
      <c r="E16" s="533">
        <f>(I14+O14+U14+AA14+AG14+AM14+AS14+AY14+BE14+BE19+AY19+AS19+I19)/2</f>
        <v>0.53500000000000014</v>
      </c>
      <c r="F16" s="457"/>
      <c r="G16" s="534">
        <f>(E16+E17)</f>
        <v>1.0100000000000002</v>
      </c>
      <c r="H16" s="298" t="s">
        <v>31</v>
      </c>
      <c r="I16" s="299">
        <f>+J16/$G14</f>
        <v>2.5999999999999999E-2</v>
      </c>
      <c r="J16" s="74">
        <f>SUM(J14:J15)</f>
        <v>3.9</v>
      </c>
      <c r="K16" s="75" t="s">
        <v>31</v>
      </c>
      <c r="L16" s="300">
        <f>SUM(L14:L15)</f>
        <v>4</v>
      </c>
      <c r="M16" s="301">
        <f>L16/($F22*$G15)</f>
        <v>4.5568466621098203E-2</v>
      </c>
      <c r="N16" s="292" t="s">
        <v>31</v>
      </c>
      <c r="O16" s="293">
        <f>+P16/$G14</f>
        <v>8.0000000000000002E-3</v>
      </c>
      <c r="P16" s="71">
        <f>SUM(P14:P15)</f>
        <v>1.2</v>
      </c>
      <c r="Q16" s="85" t="s">
        <v>31</v>
      </c>
      <c r="R16" s="316">
        <f>SUM(R14:R15)</f>
        <v>1</v>
      </c>
      <c r="S16" s="295">
        <f>R16/($F22*$G15)</f>
        <v>1.1392116655274551E-2</v>
      </c>
      <c r="T16" s="296" t="s">
        <v>31</v>
      </c>
      <c r="U16" s="297">
        <f>+V16/$G14</f>
        <v>2.5999999999999999E-2</v>
      </c>
      <c r="V16" s="73">
        <f>SUM(V14:V15)</f>
        <v>3.9</v>
      </c>
      <c r="W16" s="72" t="s">
        <v>31</v>
      </c>
      <c r="X16" s="294">
        <f>SUM(X14:X15)</f>
        <v>4</v>
      </c>
      <c r="Y16" s="295">
        <f>X16/($F22*$G15)</f>
        <v>4.5568466621098203E-2</v>
      </c>
      <c r="Z16" s="296" t="s">
        <v>31</v>
      </c>
      <c r="AA16" s="297">
        <f>+AB16/$G14</f>
        <v>1.7999999999999999E-2</v>
      </c>
      <c r="AB16" s="73">
        <f>SUM(AB14:AB15)</f>
        <v>2.6999999999999997</v>
      </c>
      <c r="AC16" s="72" t="s">
        <v>31</v>
      </c>
      <c r="AD16" s="294">
        <f>SUM(AD14:AD15)</f>
        <v>3</v>
      </c>
      <c r="AE16" s="295">
        <f>AD16/($F22*$G15)</f>
        <v>3.4176349965823652E-2</v>
      </c>
      <c r="AF16" s="296" t="s">
        <v>31</v>
      </c>
      <c r="AG16" s="297">
        <f>+AH16/$G14</f>
        <v>0.06</v>
      </c>
      <c r="AH16" s="73">
        <f>SUM(AH14:AH15)</f>
        <v>9</v>
      </c>
      <c r="AI16" s="72" t="s">
        <v>31</v>
      </c>
      <c r="AJ16" s="294">
        <f>SUM(AJ14:AJ15)</f>
        <v>9</v>
      </c>
      <c r="AK16" s="295">
        <f>AJ16/($F22*$G15)</f>
        <v>0.10252904989747094</v>
      </c>
      <c r="AL16" s="296" t="s">
        <v>31</v>
      </c>
      <c r="AM16" s="297">
        <f>+AN16/$G14</f>
        <v>2.5999999999999999E-2</v>
      </c>
      <c r="AN16" s="73">
        <f>SUM(AN14:AN15)</f>
        <v>3.9</v>
      </c>
      <c r="AO16" s="72" t="s">
        <v>31</v>
      </c>
      <c r="AP16" s="294">
        <f>SUM(AP14:AP15)</f>
        <v>4</v>
      </c>
      <c r="AQ16" s="295">
        <f>AP16/($F22*$G15)</f>
        <v>4.5568466621098203E-2</v>
      </c>
      <c r="AR16" s="298" t="s">
        <v>31</v>
      </c>
      <c r="AS16" s="299">
        <f>+AT16/$G14</f>
        <v>0.05</v>
      </c>
      <c r="AT16" s="74">
        <f>SUM(AT14:AT15)</f>
        <v>7.5</v>
      </c>
      <c r="AU16" s="75" t="s">
        <v>31</v>
      </c>
      <c r="AV16" s="300">
        <f>SUM(AV14:AV15)</f>
        <v>6</v>
      </c>
      <c r="AW16" s="301">
        <f>AV16/($F22*$G15)</f>
        <v>6.8352699931647304E-2</v>
      </c>
      <c r="AX16" s="298" t="s">
        <v>31</v>
      </c>
      <c r="AY16" s="299">
        <f>+AZ16/$G14</f>
        <v>0.24</v>
      </c>
      <c r="AZ16" s="74">
        <f>SUM(AZ14:AZ15)</f>
        <v>36</v>
      </c>
      <c r="BA16" s="75" t="s">
        <v>31</v>
      </c>
      <c r="BB16" s="300">
        <f>SUM(BB14:BB15)</f>
        <v>35</v>
      </c>
      <c r="BC16" s="301">
        <f>BB16/($F22*$G15)</f>
        <v>0.39872408293460926</v>
      </c>
      <c r="BD16" s="298" t="s">
        <v>31</v>
      </c>
      <c r="BE16" s="299">
        <f>+BF16/$G14</f>
        <v>1.1999999999999999E-2</v>
      </c>
      <c r="BF16" s="74">
        <f>SUM(BF14:BF15)</f>
        <v>1.7999999999999998</v>
      </c>
      <c r="BG16" s="75" t="s">
        <v>31</v>
      </c>
      <c r="BH16" s="300">
        <f>SUM(BH14:BH15)</f>
        <v>1.5</v>
      </c>
      <c r="BI16" s="76">
        <f>BH16/($F22*$G15)</f>
        <v>1.7088174982911826E-2</v>
      </c>
    </row>
    <row r="17" spans="1:61" ht="17.25" customHeight="1">
      <c r="A17" s="291" t="s">
        <v>81</v>
      </c>
      <c r="B17" s="535" t="s">
        <v>34</v>
      </c>
      <c r="C17" s="461"/>
      <c r="D17" s="462"/>
      <c r="E17" s="536">
        <f>(I15+O15+U15+AA15+AG15+AM15+AS15+AY15+BE15+AS20+AY20+BE20+I20)/2</f>
        <v>0.47500000000000009</v>
      </c>
      <c r="F17" s="464"/>
      <c r="G17" s="459"/>
      <c r="H17" s="537" t="str">
        <f>VLOOKUP(H13,Plancha2!A:M,2,FALSE())</f>
        <v>Poisson</v>
      </c>
      <c r="I17" s="474"/>
      <c r="J17" s="474"/>
      <c r="K17" s="306"/>
      <c r="L17" s="529">
        <f>J16</f>
        <v>3.9</v>
      </c>
      <c r="M17" s="475"/>
      <c r="N17" s="304" t="str">
        <f>VLOOKUP(N13,Friteuse!A:M,2,FALSE())</f>
        <v>Oeuf</v>
      </c>
      <c r="O17" s="305"/>
      <c r="P17" s="305"/>
      <c r="Q17" s="77"/>
      <c r="R17" s="529">
        <f>VLOOKUP(N13,Friteuse!A:M,3,FALSE())*P16</f>
        <v>0.24</v>
      </c>
      <c r="S17" s="475"/>
      <c r="T17" s="302" t="str">
        <f>VLOOKUP(T13,Wok!A:M,2,FALSE())</f>
        <v>Aiguillettes</v>
      </c>
      <c r="U17" s="303"/>
      <c r="V17" s="303"/>
      <c r="W17" s="77"/>
      <c r="X17" s="529">
        <f>VLOOKUP(T13,Wok!A:M,3,FALSE())*V16</f>
        <v>2.5350000000000001</v>
      </c>
      <c r="Y17" s="475"/>
      <c r="Z17" s="302" t="str">
        <f>VLOOKUP(Z13,Poele!A:M,2,FALSE())</f>
        <v>Riz carnoli CUIT (2kg pour 1,6L)</v>
      </c>
      <c r="AA17" s="303"/>
      <c r="AB17" s="303"/>
      <c r="AC17" s="77"/>
      <c r="AD17" s="529">
        <f>VLOOKUP(Z13,Poele!A:M,3,FALSE())*AB16</f>
        <v>0.97199999999999986</v>
      </c>
      <c r="AE17" s="475"/>
      <c r="AF17" s="302" t="str">
        <f>VLOOKUP(AF13,Four!A:M,2,FALSE())</f>
        <v>Dinde sauté</v>
      </c>
      <c r="AG17" s="303"/>
      <c r="AH17" s="303"/>
      <c r="AI17" s="77"/>
      <c r="AJ17" s="529">
        <f>VLOOKUP(AF13,Four!A:M,3,FALSE())*AH16</f>
        <v>6.03</v>
      </c>
      <c r="AK17" s="475"/>
      <c r="AL17" s="302" t="str">
        <f>VLOOKUP(AL13,Four!A:M,2,FALSE())</f>
        <v>Porc sauté</v>
      </c>
      <c r="AM17" s="303"/>
      <c r="AN17" s="303"/>
      <c r="AO17" s="77"/>
      <c r="AP17" s="529">
        <f>VLOOKUP(AL13,Four!A:M,3,FALSE())*AN16</f>
        <v>2.5350000000000001</v>
      </c>
      <c r="AQ17" s="475"/>
      <c r="AR17" s="538" t="s">
        <v>42</v>
      </c>
      <c r="AS17" s="461"/>
      <c r="AT17" s="461"/>
      <c r="AU17" s="306"/>
      <c r="AV17" s="529">
        <f>AT16</f>
        <v>7.5</v>
      </c>
      <c r="AW17" s="475"/>
      <c r="AX17" s="528" t="s">
        <v>156</v>
      </c>
      <c r="AY17" s="471"/>
      <c r="AZ17" s="471"/>
      <c r="BA17" s="78"/>
      <c r="BB17" s="529">
        <f>AZ16</f>
        <v>36</v>
      </c>
      <c r="BC17" s="475"/>
      <c r="BD17" s="528" t="s">
        <v>157</v>
      </c>
      <c r="BE17" s="471"/>
      <c r="BF17" s="471"/>
      <c r="BG17" s="78"/>
      <c r="BH17" s="529">
        <f>BF16</f>
        <v>1.7999999999999998</v>
      </c>
      <c r="BI17" s="503"/>
    </row>
    <row r="18" spans="1:61" ht="17.25" customHeight="1">
      <c r="A18" s="291" t="s">
        <v>45</v>
      </c>
      <c r="B18" s="539" t="s">
        <v>46</v>
      </c>
      <c r="C18" s="445"/>
      <c r="D18" s="517"/>
      <c r="E18" s="540">
        <f>(L16+R16+X16+AD16+AJ16+AP16+AV16+BB16+BH16+BH21+(BB21*BB18/1000)+L21+AV21)/(G15*F22)</f>
        <v>1</v>
      </c>
      <c r="F18" s="474"/>
      <c r="G18" s="475"/>
      <c r="H18" s="521" t="s">
        <v>160</v>
      </c>
      <c r="I18" s="431"/>
      <c r="J18" s="431"/>
      <c r="K18" s="431"/>
      <c r="L18" s="431"/>
      <c r="M18" s="432"/>
      <c r="N18" s="304" t="str">
        <f>VLOOKUP(N13,Friteuse!A:M,4,FALSE())</f>
        <v>Carotte</v>
      </c>
      <c r="O18" s="79"/>
      <c r="P18" s="79"/>
      <c r="Q18" s="79"/>
      <c r="R18" s="530">
        <f>VLOOKUP(N13,Friteuse!A:M,5,FALSE())*P16</f>
        <v>0.54</v>
      </c>
      <c r="S18" s="475"/>
      <c r="T18" s="302" t="str">
        <f>VLOOKUP(T13,Wok!A:M,4,FALSE())</f>
        <v>Artichaud</v>
      </c>
      <c r="U18" s="77"/>
      <c r="V18" s="77"/>
      <c r="W18" s="77"/>
      <c r="X18" s="530">
        <f>VLOOKUP(T13,Wok!A:M,5,FALSE())*V16</f>
        <v>0.78</v>
      </c>
      <c r="Y18" s="475"/>
      <c r="Z18" s="302" t="str">
        <f>VLOOKUP(Z13,Poele!A:M,4,FALSE())</f>
        <v>Coppa</v>
      </c>
      <c r="AA18" s="77"/>
      <c r="AB18" s="77"/>
      <c r="AC18" s="77"/>
      <c r="AD18" s="530">
        <f>VLOOKUP(Z13,Poele!A:M,5,FALSE())*AB16</f>
        <v>0.26999999999999996</v>
      </c>
      <c r="AE18" s="475"/>
      <c r="AF18" s="302" t="str">
        <f>VLOOKUP(AF13,Four!A:M,4,FALSE())</f>
        <v>Carottes</v>
      </c>
      <c r="AG18" s="77"/>
      <c r="AH18" s="77"/>
      <c r="AI18" s="77"/>
      <c r="AJ18" s="530">
        <f>VLOOKUP(AF13,Four!A:M,5,FALSE())*AH16</f>
        <v>0.54</v>
      </c>
      <c r="AK18" s="475"/>
      <c r="AL18" s="302" t="str">
        <f>VLOOKUP(AL13,Four!A:M,4,FALSE())</f>
        <v>Tomates concassées</v>
      </c>
      <c r="AM18" s="77"/>
      <c r="AN18" s="77"/>
      <c r="AO18" s="77"/>
      <c r="AP18" s="530">
        <f>VLOOKUP(AL13,Four!A:M,5,FALSE())*AN16</f>
        <v>1.365</v>
      </c>
      <c r="AQ18" s="475"/>
      <c r="AR18" s="481" t="s">
        <v>54</v>
      </c>
      <c r="AS18" s="431"/>
      <c r="AT18" s="431"/>
      <c r="AU18" s="431"/>
      <c r="AV18" s="431"/>
      <c r="AW18" s="432"/>
      <c r="AX18" s="481" t="s">
        <v>55</v>
      </c>
      <c r="AY18" s="431"/>
      <c r="AZ18" s="431"/>
      <c r="BA18" s="431"/>
      <c r="BB18" s="531">
        <v>60</v>
      </c>
      <c r="BC18" s="432"/>
      <c r="BD18" s="483" t="s">
        <v>163</v>
      </c>
      <c r="BE18" s="431"/>
      <c r="BF18" s="431"/>
      <c r="BG18" s="431"/>
      <c r="BH18" s="431"/>
      <c r="BI18" s="484"/>
    </row>
    <row r="19" spans="1:61" ht="17.25" customHeight="1">
      <c r="A19" s="291" t="s">
        <v>56</v>
      </c>
      <c r="B19" s="513" t="s">
        <v>158</v>
      </c>
      <c r="C19" s="445"/>
      <c r="D19" s="445"/>
      <c r="E19" s="445"/>
      <c r="F19" s="541">
        <v>0.6</v>
      </c>
      <c r="G19" s="446"/>
      <c r="H19" s="276" t="s">
        <v>23</v>
      </c>
      <c r="I19" s="62">
        <v>7.0000000000000007E-2</v>
      </c>
      <c r="J19" s="63">
        <f>+I19*$C14*$F$9</f>
        <v>4.2</v>
      </c>
      <c r="K19" s="276" t="s">
        <v>24</v>
      </c>
      <c r="L19" s="64">
        <v>4</v>
      </c>
      <c r="M19" s="277">
        <f>L19/($F22*$C15)</f>
        <v>6.835269993164729E-2</v>
      </c>
      <c r="N19" s="304" t="str">
        <f>VLOOKUP(N13,Friteuse!A:M,6,FALSE())</f>
        <v>Farine</v>
      </c>
      <c r="O19" s="79"/>
      <c r="P19" s="79"/>
      <c r="Q19" s="79"/>
      <c r="R19" s="530">
        <f>VLOOKUP(N13,Friteuse!A:M,7,FALSE())*P16</f>
        <v>0.36</v>
      </c>
      <c r="S19" s="475"/>
      <c r="T19" s="302" t="str">
        <f>VLOOKUP(T13,Wok!A:M,6,FALSE())</f>
        <v>Oignon</v>
      </c>
      <c r="U19" s="77"/>
      <c r="V19" s="77"/>
      <c r="W19" s="77"/>
      <c r="X19" s="530">
        <f>VLOOKUP(T13,Wok!A:M,7,FALSE())*V16</f>
        <v>0.19500000000000001</v>
      </c>
      <c r="Y19" s="475"/>
      <c r="Z19" s="302" t="str">
        <f>VLOOKUP(Z13,Poele!A:M,6,FALSE())</f>
        <v>Champignon</v>
      </c>
      <c r="AA19" s="77"/>
      <c r="AB19" s="77"/>
      <c r="AC19" s="77"/>
      <c r="AD19" s="530">
        <f>VLOOKUP(Z13,Poele!A:M,7,FALSE())*AB16</f>
        <v>0.43199999999999994</v>
      </c>
      <c r="AE19" s="475"/>
      <c r="AF19" s="302" t="str">
        <f>VLOOKUP(AF13,Four!A:M,6,FALSE())</f>
        <v>Poireaux</v>
      </c>
      <c r="AG19" s="77"/>
      <c r="AH19" s="77"/>
      <c r="AI19" s="77"/>
      <c r="AJ19" s="530">
        <f>VLOOKUP(AF13,Four!A:M,7,FALSE())*AH16</f>
        <v>0.54</v>
      </c>
      <c r="AK19" s="475"/>
      <c r="AL19" s="302" t="str">
        <f>VLOOKUP(AL13,Four!A:M,6,FALSE())</f>
        <v>Ail</v>
      </c>
      <c r="AM19" s="77"/>
      <c r="AN19" s="77"/>
      <c r="AO19" s="77"/>
      <c r="AP19" s="530">
        <f>VLOOKUP(AL13,Four!A:M,7,FALSE())*AN16</f>
        <v>0</v>
      </c>
      <c r="AQ19" s="475"/>
      <c r="AR19" s="276" t="s">
        <v>23</v>
      </c>
      <c r="AS19" s="62">
        <v>0.08</v>
      </c>
      <c r="AT19" s="63">
        <f>+AS19*$C14*$F$9</f>
        <v>4.8</v>
      </c>
      <c r="AU19" s="276" t="s">
        <v>24</v>
      </c>
      <c r="AV19" s="64">
        <v>4</v>
      </c>
      <c r="AW19" s="277">
        <f>AV19/($F22*$C15)</f>
        <v>6.835269993164729E-2</v>
      </c>
      <c r="AX19" s="307" t="s">
        <v>23</v>
      </c>
      <c r="AY19" s="62">
        <v>0.03</v>
      </c>
      <c r="AZ19" s="95">
        <f>AY19*C14*F19/(BB18/1000)</f>
        <v>29.999999999999996</v>
      </c>
      <c r="BA19" s="276" t="s">
        <v>24</v>
      </c>
      <c r="BB19" s="96">
        <v>25</v>
      </c>
      <c r="BC19" s="313">
        <f>(BB19*BB18/1000)/($F22*$C15)</f>
        <v>2.5632262474367735E-2</v>
      </c>
      <c r="BD19" s="276" t="s">
        <v>23</v>
      </c>
      <c r="BE19" s="62">
        <v>7.0000000000000007E-2</v>
      </c>
      <c r="BF19" s="63">
        <f>+BE19*$C14*$F$9</f>
        <v>4.2</v>
      </c>
      <c r="BG19" s="276" t="s">
        <v>24</v>
      </c>
      <c r="BH19" s="64">
        <v>4</v>
      </c>
      <c r="BI19" s="65">
        <f>BH19/($F22*$C15)</f>
        <v>6.835269993164729E-2</v>
      </c>
    </row>
    <row r="20" spans="1:61" ht="17.25" customHeight="1">
      <c r="A20" s="291"/>
      <c r="B20" s="544" t="s">
        <v>178</v>
      </c>
      <c r="C20" s="445"/>
      <c r="D20" s="445"/>
      <c r="E20" s="446"/>
      <c r="F20" s="319">
        <f>(L14+R14+L19+X14+AD14+AJ14+AP14+AV14+AV19+BB14+BB19*(BB18/1000)+BH14+BH19)/C15</f>
        <v>0.61</v>
      </c>
      <c r="G20" s="320">
        <f>F20/(F20+F21)</f>
        <v>0.5324720670391061</v>
      </c>
      <c r="H20" s="70" t="s">
        <v>27</v>
      </c>
      <c r="I20" s="286">
        <v>7.0000000000000007E-2</v>
      </c>
      <c r="J20" s="287">
        <f>+I20*$E14*$F19</f>
        <v>2.1</v>
      </c>
      <c r="K20" s="70" t="s">
        <v>28</v>
      </c>
      <c r="L20" s="288">
        <v>2</v>
      </c>
      <c r="M20" s="289">
        <f>L20/($F22*$E15)</f>
        <v>6.835269993164729E-2</v>
      </c>
      <c r="N20" s="304" t="str">
        <f>VLOOKUP(N13,Friteuse!A:M,8,FALSE())</f>
        <v>Lait</v>
      </c>
      <c r="O20" s="79"/>
      <c r="P20" s="79"/>
      <c r="Q20" s="79"/>
      <c r="R20" s="530">
        <f>VLOOKUP(N13,Friteuse!A:M,9,FALSE())*P16</f>
        <v>0.06</v>
      </c>
      <c r="S20" s="475"/>
      <c r="T20" s="302" t="str">
        <f>VLOOKUP(T13,Wok!A:M,8,FALSE())</f>
        <v>Ail</v>
      </c>
      <c r="U20" s="77"/>
      <c r="V20" s="77"/>
      <c r="W20" s="77"/>
      <c r="X20" s="530">
        <f>VLOOKUP(T13,Wok!A:M,9,FALSE())*V16</f>
        <v>0.19500000000000001</v>
      </c>
      <c r="Y20" s="475"/>
      <c r="Z20" s="302" t="str">
        <f>VLOOKUP(Z13,Poele!A:M,8,FALSE())</f>
        <v>Creme culinaire</v>
      </c>
      <c r="AA20" s="77"/>
      <c r="AB20" s="77"/>
      <c r="AC20" s="77"/>
      <c r="AD20" s="530">
        <f>VLOOKUP(Z13,Poele!A:M,9,FALSE())*AB16</f>
        <v>0.40499999999999997</v>
      </c>
      <c r="AE20" s="475"/>
      <c r="AF20" s="302" t="str">
        <f>VLOOKUP(AF13,Four!A:M,8,FALSE())</f>
        <v>Celeri</v>
      </c>
      <c r="AG20" s="77"/>
      <c r="AH20" s="77"/>
      <c r="AI20" s="77"/>
      <c r="AJ20" s="530">
        <f>VLOOKUP(AF13,Four!A:M,9,FALSE())*AH16</f>
        <v>0.54</v>
      </c>
      <c r="AK20" s="475"/>
      <c r="AL20" s="302" t="str">
        <f>VLOOKUP(AL13,Four!A:M,8,FALSE())</f>
        <v>Curcuma</v>
      </c>
      <c r="AM20" s="77"/>
      <c r="AN20" s="77"/>
      <c r="AO20" s="77"/>
      <c r="AP20" s="530">
        <f>VLOOKUP(AL13,Four!A:M,9,FALSE())*AN16</f>
        <v>0</v>
      </c>
      <c r="AQ20" s="475"/>
      <c r="AR20" s="70" t="s">
        <v>27</v>
      </c>
      <c r="AS20" s="286">
        <v>0.09</v>
      </c>
      <c r="AT20" s="287">
        <f>+AS20*$E14*$F19</f>
        <v>2.6999999999999997</v>
      </c>
      <c r="AU20" s="70" t="s">
        <v>28</v>
      </c>
      <c r="AV20" s="288">
        <v>2</v>
      </c>
      <c r="AW20" s="289">
        <f>AV20/($F22*$E15)</f>
        <v>6.835269993164729E-2</v>
      </c>
      <c r="AX20" s="80" t="s">
        <v>27</v>
      </c>
      <c r="AY20" s="286">
        <v>0.03</v>
      </c>
      <c r="AZ20" s="321">
        <f>AY20*E14*F19/(BB18/1000)</f>
        <v>14.999999999999998</v>
      </c>
      <c r="BA20" s="70" t="s">
        <v>28</v>
      </c>
      <c r="BB20" s="322">
        <v>13</v>
      </c>
      <c r="BC20" s="315">
        <f>(BB20*BB18/1000)/($F22*$E15)</f>
        <v>2.6657552973342446E-2</v>
      </c>
      <c r="BD20" s="70" t="s">
        <v>27</v>
      </c>
      <c r="BE20" s="286">
        <v>7.0000000000000007E-2</v>
      </c>
      <c r="BF20" s="287">
        <f>+BE20*$E14*$F19</f>
        <v>2.1</v>
      </c>
      <c r="BG20" s="70" t="s">
        <v>28</v>
      </c>
      <c r="BH20" s="288">
        <v>2</v>
      </c>
      <c r="BI20" s="290">
        <f>BH20/($F22*$E15)</f>
        <v>6.835269993164729E-2</v>
      </c>
    </row>
    <row r="21" spans="1:61" ht="17.25" customHeight="1">
      <c r="A21" s="291"/>
      <c r="B21" s="447"/>
      <c r="C21" s="434"/>
      <c r="D21" s="434"/>
      <c r="E21" s="435"/>
      <c r="F21" s="323">
        <f>(L15+L20+R15+X15+AD15+AJ15+AP15+AV15+AV20+BB15+BB20*(BB18/1000)+BH20+BH15)/E15</f>
        <v>0.53560000000000008</v>
      </c>
      <c r="G21" s="324">
        <f>F21/(F20+F21)</f>
        <v>0.46752793296089395</v>
      </c>
      <c r="H21" s="298" t="s">
        <v>31</v>
      </c>
      <c r="I21" s="299">
        <f>+J21/$G14</f>
        <v>4.2000000000000003E-2</v>
      </c>
      <c r="J21" s="74">
        <f>SUM(J19:J20)</f>
        <v>6.3000000000000007</v>
      </c>
      <c r="K21" s="75" t="s">
        <v>31</v>
      </c>
      <c r="L21" s="300">
        <f>SUM(L19:L20)</f>
        <v>6</v>
      </c>
      <c r="M21" s="301">
        <f>L21/($F22*$G15)</f>
        <v>6.8352699931647304E-2</v>
      </c>
      <c r="N21" s="304" t="str">
        <f>VLOOKUP(N13,Friteuse!A:M,10,FALSE())</f>
        <v>Levure</v>
      </c>
      <c r="O21" s="78"/>
      <c r="P21" s="78"/>
      <c r="Q21" s="78"/>
      <c r="R21" s="530">
        <f>VLOOKUP(N13,Friteuse!A:M,11,FALSE())*P16</f>
        <v>1.1999999999999999E-3</v>
      </c>
      <c r="S21" s="475"/>
      <c r="T21" s="302" t="str">
        <f>VLOOKUP(T13,Wok!A:M,10,FALSE())</f>
        <v>Tomate</v>
      </c>
      <c r="U21" s="81"/>
      <c r="V21" s="81"/>
      <c r="W21" s="81"/>
      <c r="X21" s="530">
        <f>VLOOKUP(T13,Wok!A:M,11,FALSE())*V16</f>
        <v>0.78</v>
      </c>
      <c r="Y21" s="475"/>
      <c r="Z21" s="302" t="str">
        <f>VLOOKUP(Z13,Poele!A:M,10,FALSE())</f>
        <v>Oignon</v>
      </c>
      <c r="AA21" s="81"/>
      <c r="AB21" s="81"/>
      <c r="AC21" s="81"/>
      <c r="AD21" s="530">
        <f>VLOOKUP(Z13,Poele!A:M,11,FALSE())*AB16</f>
        <v>0.13499999999999998</v>
      </c>
      <c r="AE21" s="475"/>
      <c r="AF21" s="302" t="str">
        <f>VLOOKUP(AF13,Four!A:M,10,FALSE())</f>
        <v>Champignons</v>
      </c>
      <c r="AG21" s="81"/>
      <c r="AH21" s="81"/>
      <c r="AI21" s="81"/>
      <c r="AJ21" s="530">
        <f>VLOOKUP(AF13,Four!A:M,11,FALSE())*AH16</f>
        <v>0.80999999999999994</v>
      </c>
      <c r="AK21" s="475"/>
      <c r="AL21" s="302" t="str">
        <f>VLOOKUP(AL13,Four!A:M,10,FALSE())</f>
        <v>Gingembre frais</v>
      </c>
      <c r="AM21" s="81"/>
      <c r="AN21" s="81"/>
      <c r="AO21" s="81"/>
      <c r="AP21" s="530">
        <f>VLOOKUP(AL13,Four!A:M,11,FALSE())*AN16</f>
        <v>0</v>
      </c>
      <c r="AQ21" s="475"/>
      <c r="AR21" s="298" t="s">
        <v>31</v>
      </c>
      <c r="AS21" s="299">
        <f>+AT21/$G14</f>
        <v>0.05</v>
      </c>
      <c r="AT21" s="74">
        <f>SUM(AT19:AT20)</f>
        <v>7.5</v>
      </c>
      <c r="AU21" s="75" t="s">
        <v>31</v>
      </c>
      <c r="AV21" s="300">
        <f>SUM(AV19:AV20)</f>
        <v>6</v>
      </c>
      <c r="AW21" s="301">
        <f>AV21/($F22*$G15)</f>
        <v>6.8352699931647304E-2</v>
      </c>
      <c r="AX21" s="308" t="s">
        <v>31</v>
      </c>
      <c r="AY21" s="299"/>
      <c r="AZ21" s="97">
        <f>SUM(AZ19:AZ20)</f>
        <v>44.999999999999993</v>
      </c>
      <c r="BA21" s="75" t="s">
        <v>31</v>
      </c>
      <c r="BB21" s="325">
        <f>SUM(BB19:BB20)</f>
        <v>38</v>
      </c>
      <c r="BC21" s="295">
        <f>(BB21*BB18/1000)/($F22*$G15)</f>
        <v>2.5974025974025972E-2</v>
      </c>
      <c r="BD21" s="298" t="s">
        <v>31</v>
      </c>
      <c r="BE21" s="299">
        <f>+BF21/$G14</f>
        <v>4.2000000000000003E-2</v>
      </c>
      <c r="BF21" s="74">
        <f>SUM(BF19:BF20)</f>
        <v>6.3000000000000007</v>
      </c>
      <c r="BG21" s="75" t="s">
        <v>31</v>
      </c>
      <c r="BH21" s="300">
        <f>SUM(BH19:BH20)</f>
        <v>6</v>
      </c>
      <c r="BI21" s="76">
        <f>BH21/($F22*$G15)</f>
        <v>6.8352699931647304E-2</v>
      </c>
    </row>
    <row r="22" spans="1:61" ht="17.25" customHeight="1">
      <c r="A22" s="291"/>
      <c r="B22" s="545" t="s">
        <v>159</v>
      </c>
      <c r="C22" s="431"/>
      <c r="D22" s="431"/>
      <c r="E22" s="432"/>
      <c r="F22" s="546">
        <f>(L16+L21+R16+X16+AD16+AJ16+AP16+AV16+AV21+BB21*BB18/1000+BB16+BH16+BH21)/G15</f>
        <v>0.58520000000000005</v>
      </c>
      <c r="G22" s="435"/>
      <c r="H22" s="302" t="str">
        <f>VLOOKUP(H18,Plancha2!A:M,2,FALSE())</f>
        <v>Lamelle encornet</v>
      </c>
      <c r="I22" s="82"/>
      <c r="J22" s="78"/>
      <c r="K22" s="78"/>
      <c r="L22" s="529">
        <f>J21</f>
        <v>6.3000000000000007</v>
      </c>
      <c r="M22" s="475"/>
      <c r="N22" s="304" t="str">
        <f>VLOOKUP(N13,Friteuse!A:M,12,FALSE())</f>
        <v>Curry gold</v>
      </c>
      <c r="O22" s="306"/>
      <c r="P22" s="306"/>
      <c r="Q22" s="306"/>
      <c r="R22" s="542">
        <f>VLOOKUP(N13,Friteuse!A:M,13,FALSE())*P16</f>
        <v>1.1999999999999999E-3</v>
      </c>
      <c r="S22" s="435"/>
      <c r="T22" s="302" t="str">
        <f>VLOOKUP(T13,Wok!A:M,12,FALSE())</f>
        <v>Vinaigre</v>
      </c>
      <c r="U22" s="309"/>
      <c r="V22" s="309"/>
      <c r="W22" s="309"/>
      <c r="X22" s="542">
        <f>VLOOKUP(T13,Wok!A:M,13,FALSE())*V16</f>
        <v>0.39</v>
      </c>
      <c r="Y22" s="435"/>
      <c r="Z22" s="302" t="str">
        <f>VLOOKUP(Z13,Poele!A:M,12,FALSE())</f>
        <v>Base bouillon</v>
      </c>
      <c r="AA22" s="309"/>
      <c r="AB22" s="309"/>
      <c r="AC22" s="309"/>
      <c r="AD22" s="542">
        <f>VLOOKUP(Z13,Poele!A:M,13,FALSE())*AB16</f>
        <v>0.48599999999999993</v>
      </c>
      <c r="AE22" s="435"/>
      <c r="AF22" s="302" t="str">
        <f>VLOOKUP(AF13,Four!A:M,12,FALSE())</f>
        <v>Oignons</v>
      </c>
      <c r="AG22" s="309"/>
      <c r="AH22" s="309"/>
      <c r="AI22" s="309"/>
      <c r="AJ22" s="542">
        <f>VLOOKUP(AF13,Four!A:M,13,FALSE())*AH16</f>
        <v>0.54</v>
      </c>
      <c r="AK22" s="435"/>
      <c r="AL22" s="302" t="str">
        <f>VLOOKUP(AL13,Four!A:M,12,FALSE())</f>
        <v>Thym</v>
      </c>
      <c r="AM22" s="309"/>
      <c r="AN22" s="309"/>
      <c r="AO22" s="309"/>
      <c r="AP22" s="542">
        <f>VLOOKUP(AL13,Four!A:M,13,FALSE())*AN16</f>
        <v>0</v>
      </c>
      <c r="AQ22" s="435"/>
      <c r="AR22" s="310" t="s">
        <v>74</v>
      </c>
      <c r="AS22" s="82"/>
      <c r="AT22" s="78"/>
      <c r="AU22" s="78"/>
      <c r="AV22" s="529">
        <f>AT21</f>
        <v>7.5</v>
      </c>
      <c r="AW22" s="475"/>
      <c r="AX22" s="538" t="s">
        <v>75</v>
      </c>
      <c r="AY22" s="461"/>
      <c r="AZ22" s="461"/>
      <c r="BA22" s="311"/>
      <c r="BB22" s="529">
        <f>AZ21*(BB18/1000)</f>
        <v>2.6999999999999993</v>
      </c>
      <c r="BC22" s="475"/>
      <c r="BD22" s="543" t="s">
        <v>115</v>
      </c>
      <c r="BE22" s="461"/>
      <c r="BF22" s="461"/>
      <c r="BG22" s="311"/>
      <c r="BH22" s="529">
        <f>BF21</f>
        <v>6.3000000000000007</v>
      </c>
      <c r="BI22" s="503"/>
    </row>
    <row r="23" spans="1:61" ht="17.25" customHeight="1">
      <c r="A23" s="55">
        <f>A13+1</f>
        <v>45308</v>
      </c>
      <c r="B23" s="547" t="s">
        <v>8</v>
      </c>
      <c r="C23" s="432"/>
      <c r="D23" s="547" t="s">
        <v>9</v>
      </c>
      <c r="E23" s="432"/>
      <c r="F23" s="317" t="s">
        <v>10</v>
      </c>
      <c r="G23" s="318"/>
      <c r="H23" s="521" t="s">
        <v>149</v>
      </c>
      <c r="I23" s="431"/>
      <c r="J23" s="431"/>
      <c r="K23" s="431"/>
      <c r="L23" s="431"/>
      <c r="M23" s="432"/>
      <c r="N23" s="522" t="s">
        <v>197</v>
      </c>
      <c r="O23" s="431"/>
      <c r="P23" s="431"/>
      <c r="Q23" s="431"/>
      <c r="R23" s="431"/>
      <c r="S23" s="432"/>
      <c r="T23" s="523" t="s">
        <v>266</v>
      </c>
      <c r="U23" s="431"/>
      <c r="V23" s="431"/>
      <c r="W23" s="431"/>
      <c r="X23" s="431"/>
      <c r="Y23" s="432"/>
      <c r="Z23" s="523" t="s">
        <v>279</v>
      </c>
      <c r="AA23" s="431"/>
      <c r="AB23" s="431"/>
      <c r="AC23" s="431"/>
      <c r="AD23" s="431"/>
      <c r="AE23" s="432"/>
      <c r="AF23" s="519" t="s">
        <v>277</v>
      </c>
      <c r="AG23" s="431"/>
      <c r="AH23" s="431"/>
      <c r="AI23" s="431"/>
      <c r="AJ23" s="431"/>
      <c r="AK23" s="432"/>
      <c r="AL23" s="519" t="s">
        <v>230</v>
      </c>
      <c r="AM23" s="431"/>
      <c r="AN23" s="431"/>
      <c r="AO23" s="431"/>
      <c r="AP23" s="431"/>
      <c r="AQ23" s="432"/>
      <c r="AR23" s="481" t="s">
        <v>18</v>
      </c>
      <c r="AS23" s="431"/>
      <c r="AT23" s="431"/>
      <c r="AU23" s="431"/>
      <c r="AV23" s="431"/>
      <c r="AW23" s="432"/>
      <c r="AX23" s="482" t="s">
        <v>154</v>
      </c>
      <c r="AY23" s="434"/>
      <c r="AZ23" s="434"/>
      <c r="BA23" s="434"/>
      <c r="BB23" s="434"/>
      <c r="BC23" s="435"/>
      <c r="BD23" s="483" t="s">
        <v>155</v>
      </c>
      <c r="BE23" s="431"/>
      <c r="BF23" s="431"/>
      <c r="BG23" s="431"/>
      <c r="BH23" s="431"/>
      <c r="BI23" s="484"/>
    </row>
    <row r="24" spans="1:61" ht="17.25" customHeight="1">
      <c r="A24" s="269"/>
      <c r="B24" s="270" t="s">
        <v>22</v>
      </c>
      <c r="C24" s="271">
        <v>100</v>
      </c>
      <c r="D24" s="270" t="s">
        <v>22</v>
      </c>
      <c r="E24" s="272">
        <v>50</v>
      </c>
      <c r="F24" s="270" t="s">
        <v>22</v>
      </c>
      <c r="G24" s="56">
        <f t="shared" ref="G24:G25" si="2">+C24+E24</f>
        <v>150</v>
      </c>
      <c r="H24" s="276" t="s">
        <v>23</v>
      </c>
      <c r="I24" s="62">
        <v>0.05</v>
      </c>
      <c r="J24" s="63">
        <f>+I24*$C24*$F29</f>
        <v>3</v>
      </c>
      <c r="K24" s="276" t="s">
        <v>24</v>
      </c>
      <c r="L24" s="64">
        <v>3</v>
      </c>
      <c r="M24" s="277">
        <f>L24/($F32*$C25)</f>
        <v>5.1264524948735471E-2</v>
      </c>
      <c r="N24" s="273" t="s">
        <v>23</v>
      </c>
      <c r="O24" s="57">
        <v>0.01</v>
      </c>
      <c r="P24" s="58">
        <f>+O24*$C24*$F29</f>
        <v>0.6</v>
      </c>
      <c r="Q24" s="273" t="s">
        <v>24</v>
      </c>
      <c r="R24" s="84">
        <v>0.5</v>
      </c>
      <c r="S24" s="313">
        <f>R24/($F32*$C25)</f>
        <v>8.5440874914559112E-3</v>
      </c>
      <c r="T24" s="274" t="s">
        <v>23</v>
      </c>
      <c r="U24" s="60">
        <v>0.05</v>
      </c>
      <c r="V24" s="61">
        <f>+U24*$C24*$F29</f>
        <v>3</v>
      </c>
      <c r="W24" s="274" t="s">
        <v>24</v>
      </c>
      <c r="X24" s="59">
        <v>3</v>
      </c>
      <c r="Y24" s="275">
        <f>X24/($F32*$C25)</f>
        <v>5.1264524948735471E-2</v>
      </c>
      <c r="Z24" s="274" t="s">
        <v>23</v>
      </c>
      <c r="AA24" s="60">
        <v>0.03</v>
      </c>
      <c r="AB24" s="61">
        <f>+AA24*$C24*$F29</f>
        <v>1.7999999999999998</v>
      </c>
      <c r="AC24" s="274" t="s">
        <v>24</v>
      </c>
      <c r="AD24" s="59">
        <v>2</v>
      </c>
      <c r="AE24" s="275">
        <f>AD24/($F32*$C25)</f>
        <v>3.4176349965823645E-2</v>
      </c>
      <c r="AF24" s="274" t="s">
        <v>23</v>
      </c>
      <c r="AG24" s="60">
        <v>0.1</v>
      </c>
      <c r="AH24" s="61">
        <f>+AG24*$C24*$F29</f>
        <v>6</v>
      </c>
      <c r="AI24" s="274" t="s">
        <v>24</v>
      </c>
      <c r="AJ24" s="59">
        <v>6</v>
      </c>
      <c r="AK24" s="275">
        <f>AJ24/($F32*$C25)</f>
        <v>0.10252904989747094</v>
      </c>
      <c r="AL24" s="274" t="s">
        <v>23</v>
      </c>
      <c r="AM24" s="60">
        <v>0.05</v>
      </c>
      <c r="AN24" s="61">
        <f>+AM24*$C24*$F29</f>
        <v>3</v>
      </c>
      <c r="AO24" s="274" t="s">
        <v>24</v>
      </c>
      <c r="AP24" s="59">
        <v>3</v>
      </c>
      <c r="AQ24" s="275">
        <f>AP24/($F32*$C25)</f>
        <v>5.1264524948735471E-2</v>
      </c>
      <c r="AR24" s="276" t="s">
        <v>23</v>
      </c>
      <c r="AS24" s="62">
        <v>0.08</v>
      </c>
      <c r="AT24" s="63">
        <f>+AS24*$C24*$F29</f>
        <v>4.8</v>
      </c>
      <c r="AU24" s="276" t="s">
        <v>24</v>
      </c>
      <c r="AV24" s="64">
        <v>4</v>
      </c>
      <c r="AW24" s="277">
        <f>AV24/($F32*$C25)</f>
        <v>6.835269993164729E-2</v>
      </c>
      <c r="AX24" s="276" t="s">
        <v>23</v>
      </c>
      <c r="AY24" s="62">
        <v>0.43</v>
      </c>
      <c r="AZ24" s="63">
        <f>+AY24*$C24*$F29</f>
        <v>25.8</v>
      </c>
      <c r="BA24" s="276" t="s">
        <v>24</v>
      </c>
      <c r="BB24" s="64">
        <v>25</v>
      </c>
      <c r="BC24" s="277">
        <f>BB24/($F32*$C25)</f>
        <v>0.42720437457279559</v>
      </c>
      <c r="BD24" s="276" t="s">
        <v>23</v>
      </c>
      <c r="BE24" s="62">
        <v>0.02</v>
      </c>
      <c r="BF24" s="63">
        <f>+BE24*$C24*$F29</f>
        <v>1.2</v>
      </c>
      <c r="BG24" s="276" t="s">
        <v>24</v>
      </c>
      <c r="BH24" s="64">
        <v>1</v>
      </c>
      <c r="BI24" s="65">
        <f>BH24/($F32*$C25)</f>
        <v>1.7088174982911822E-2</v>
      </c>
    </row>
    <row r="25" spans="1:61" ht="17.25" customHeight="1">
      <c r="A25" s="278" t="s">
        <v>79</v>
      </c>
      <c r="B25" s="266" t="s">
        <v>26</v>
      </c>
      <c r="C25" s="66">
        <v>100</v>
      </c>
      <c r="D25" s="266" t="s">
        <v>26</v>
      </c>
      <c r="E25" s="67">
        <v>50</v>
      </c>
      <c r="F25" s="266" t="s">
        <v>26</v>
      </c>
      <c r="G25" s="279">
        <f t="shared" si="2"/>
        <v>150</v>
      </c>
      <c r="H25" s="70" t="s">
        <v>27</v>
      </c>
      <c r="I25" s="286">
        <v>0.03</v>
      </c>
      <c r="J25" s="287">
        <f>+I25*$E24*$F29</f>
        <v>0.89999999999999991</v>
      </c>
      <c r="K25" s="70" t="s">
        <v>28</v>
      </c>
      <c r="L25" s="288">
        <v>1</v>
      </c>
      <c r="M25" s="289">
        <f>L25/($F32*$E25)</f>
        <v>3.4176349965823645E-2</v>
      </c>
      <c r="N25" s="68" t="s">
        <v>27</v>
      </c>
      <c r="O25" s="280">
        <v>0.02</v>
      </c>
      <c r="P25" s="281">
        <f>+O25*$E24*$F29</f>
        <v>0.6</v>
      </c>
      <c r="Q25" s="68" t="s">
        <v>28</v>
      </c>
      <c r="R25" s="314">
        <v>0.5</v>
      </c>
      <c r="S25" s="315">
        <f>R25/($F32*$E25)</f>
        <v>1.7088174982911822E-2</v>
      </c>
      <c r="T25" s="69" t="s">
        <v>27</v>
      </c>
      <c r="U25" s="284">
        <v>0.03</v>
      </c>
      <c r="V25" s="285">
        <f>+U25*$E24*$F29</f>
        <v>0.89999999999999991</v>
      </c>
      <c r="W25" s="69" t="s">
        <v>28</v>
      </c>
      <c r="X25" s="282">
        <v>1</v>
      </c>
      <c r="Y25" s="283">
        <f>X25/($F32*$E25)</f>
        <v>3.4176349965823645E-2</v>
      </c>
      <c r="Z25" s="69" t="s">
        <v>27</v>
      </c>
      <c r="AA25" s="284">
        <v>0.03</v>
      </c>
      <c r="AB25" s="285">
        <f>+AA25*$E24*$F29</f>
        <v>0.89999999999999991</v>
      </c>
      <c r="AC25" s="69" t="s">
        <v>28</v>
      </c>
      <c r="AD25" s="282">
        <v>1</v>
      </c>
      <c r="AE25" s="283">
        <f>AD25/($F32*$E25)</f>
        <v>3.4176349965823645E-2</v>
      </c>
      <c r="AF25" s="69" t="s">
        <v>27</v>
      </c>
      <c r="AG25" s="284">
        <v>0.1</v>
      </c>
      <c r="AH25" s="285">
        <f>+AG25*$E24*$F29</f>
        <v>3</v>
      </c>
      <c r="AI25" s="69" t="s">
        <v>28</v>
      </c>
      <c r="AJ25" s="282">
        <v>3</v>
      </c>
      <c r="AK25" s="283">
        <f>AJ25/($F32*$E25)</f>
        <v>0.10252904989747094</v>
      </c>
      <c r="AL25" s="69" t="s">
        <v>27</v>
      </c>
      <c r="AM25" s="284">
        <v>0.03</v>
      </c>
      <c r="AN25" s="285">
        <f>+AM25*$E24*$F29</f>
        <v>0.89999999999999991</v>
      </c>
      <c r="AO25" s="69" t="s">
        <v>28</v>
      </c>
      <c r="AP25" s="282">
        <v>1</v>
      </c>
      <c r="AQ25" s="283">
        <f>AP25/($F32*$E25)</f>
        <v>3.4176349965823645E-2</v>
      </c>
      <c r="AR25" s="70" t="s">
        <v>27</v>
      </c>
      <c r="AS25" s="286">
        <v>0.09</v>
      </c>
      <c r="AT25" s="287">
        <f>+AS25*$E24*$F29</f>
        <v>2.6999999999999997</v>
      </c>
      <c r="AU25" s="70" t="s">
        <v>28</v>
      </c>
      <c r="AV25" s="288">
        <v>2</v>
      </c>
      <c r="AW25" s="289">
        <f>AV25/($F32*$E25)</f>
        <v>6.835269993164729E-2</v>
      </c>
      <c r="AX25" s="70" t="s">
        <v>27</v>
      </c>
      <c r="AY25" s="286">
        <v>0.34</v>
      </c>
      <c r="AZ25" s="287">
        <f>+AY25*$E24*$F29</f>
        <v>10.199999999999999</v>
      </c>
      <c r="BA25" s="70" t="s">
        <v>28</v>
      </c>
      <c r="BB25" s="288">
        <v>10</v>
      </c>
      <c r="BC25" s="289">
        <f>BB25/($F32*$E25)</f>
        <v>0.34176349965823649</v>
      </c>
      <c r="BD25" s="70" t="s">
        <v>27</v>
      </c>
      <c r="BE25" s="286">
        <v>0.02</v>
      </c>
      <c r="BF25" s="287">
        <f>+BE25*$E24*$F29</f>
        <v>0.6</v>
      </c>
      <c r="BG25" s="70" t="s">
        <v>28</v>
      </c>
      <c r="BH25" s="288">
        <v>0.5</v>
      </c>
      <c r="BI25" s="290">
        <f>BH25/($F32*$E25)</f>
        <v>1.7088174982911822E-2</v>
      </c>
    </row>
    <row r="26" spans="1:61" ht="17.25" customHeight="1">
      <c r="A26" s="291" t="s">
        <v>94</v>
      </c>
      <c r="B26" s="532" t="s">
        <v>30</v>
      </c>
      <c r="C26" s="454"/>
      <c r="D26" s="455"/>
      <c r="E26" s="533">
        <f>(I24+O24+U24+AA24+AG24+AM24+AS24+AY24+BE24+BE29+AY29+AS29+I29)/2</f>
        <v>0.53500000000000014</v>
      </c>
      <c r="F26" s="457"/>
      <c r="G26" s="534">
        <f>(E26+E27)</f>
        <v>1.0100000000000002</v>
      </c>
      <c r="H26" s="298" t="s">
        <v>31</v>
      </c>
      <c r="I26" s="299">
        <f>+J26/$G24</f>
        <v>2.5999999999999999E-2</v>
      </c>
      <c r="J26" s="74">
        <f>SUM(J24:J25)</f>
        <v>3.9</v>
      </c>
      <c r="K26" s="75" t="s">
        <v>31</v>
      </c>
      <c r="L26" s="300">
        <f>SUM(L24:L25)</f>
        <v>4</v>
      </c>
      <c r="M26" s="301">
        <f>L26/($F32*$G25)</f>
        <v>4.5568466621098203E-2</v>
      </c>
      <c r="N26" s="292" t="s">
        <v>31</v>
      </c>
      <c r="O26" s="293">
        <f>+P26/$G24</f>
        <v>8.0000000000000002E-3</v>
      </c>
      <c r="P26" s="71">
        <f>SUM(P24:P25)</f>
        <v>1.2</v>
      </c>
      <c r="Q26" s="85" t="s">
        <v>31</v>
      </c>
      <c r="R26" s="316">
        <f>SUM(R24:R25)</f>
        <v>1</v>
      </c>
      <c r="S26" s="295">
        <f>R26/($F32*$G25)</f>
        <v>1.1392116655274551E-2</v>
      </c>
      <c r="T26" s="296" t="s">
        <v>31</v>
      </c>
      <c r="U26" s="297">
        <f>+V26/$G24</f>
        <v>2.5999999999999999E-2</v>
      </c>
      <c r="V26" s="73">
        <f>SUM(V24:V25)</f>
        <v>3.9</v>
      </c>
      <c r="W26" s="72" t="s">
        <v>31</v>
      </c>
      <c r="X26" s="294">
        <f>SUM(X24:X25)</f>
        <v>4</v>
      </c>
      <c r="Y26" s="295">
        <f>X26/($F32*$G25)</f>
        <v>4.5568466621098203E-2</v>
      </c>
      <c r="Z26" s="296" t="s">
        <v>31</v>
      </c>
      <c r="AA26" s="297">
        <f>+AB26/$G24</f>
        <v>1.7999999999999999E-2</v>
      </c>
      <c r="AB26" s="73">
        <f>SUM(AB24:AB25)</f>
        <v>2.6999999999999997</v>
      </c>
      <c r="AC26" s="72" t="s">
        <v>31</v>
      </c>
      <c r="AD26" s="294">
        <f>SUM(AD24:AD25)</f>
        <v>3</v>
      </c>
      <c r="AE26" s="295">
        <f>AD26/($F32*$G25)</f>
        <v>3.4176349965823652E-2</v>
      </c>
      <c r="AF26" s="296" t="s">
        <v>31</v>
      </c>
      <c r="AG26" s="297">
        <f>+AH26/$G24</f>
        <v>0.06</v>
      </c>
      <c r="AH26" s="73">
        <f>SUM(AH24:AH25)</f>
        <v>9</v>
      </c>
      <c r="AI26" s="72" t="s">
        <v>31</v>
      </c>
      <c r="AJ26" s="294">
        <f>SUM(AJ24:AJ25)</f>
        <v>9</v>
      </c>
      <c r="AK26" s="295">
        <f>AJ26/($F32*$G25)</f>
        <v>0.10252904989747094</v>
      </c>
      <c r="AL26" s="296" t="s">
        <v>31</v>
      </c>
      <c r="AM26" s="297">
        <f>+AN26/$G24</f>
        <v>2.5999999999999999E-2</v>
      </c>
      <c r="AN26" s="73">
        <f>SUM(AN24:AN25)</f>
        <v>3.9</v>
      </c>
      <c r="AO26" s="72" t="s">
        <v>31</v>
      </c>
      <c r="AP26" s="294">
        <f>SUM(AP24:AP25)</f>
        <v>4</v>
      </c>
      <c r="AQ26" s="295">
        <f>AP26/($F32*$G25)</f>
        <v>4.5568466621098203E-2</v>
      </c>
      <c r="AR26" s="298" t="s">
        <v>31</v>
      </c>
      <c r="AS26" s="299">
        <f>+AT26/$G24</f>
        <v>0.05</v>
      </c>
      <c r="AT26" s="74">
        <f>SUM(AT24:AT25)</f>
        <v>7.5</v>
      </c>
      <c r="AU26" s="75" t="s">
        <v>31</v>
      </c>
      <c r="AV26" s="300">
        <f>SUM(AV24:AV25)</f>
        <v>6</v>
      </c>
      <c r="AW26" s="301">
        <f>AV26/($F32*$G25)</f>
        <v>6.8352699931647304E-2</v>
      </c>
      <c r="AX26" s="298" t="s">
        <v>31</v>
      </c>
      <c r="AY26" s="299">
        <f>+AZ26/$G24</f>
        <v>0.24</v>
      </c>
      <c r="AZ26" s="74">
        <f>SUM(AZ24:AZ25)</f>
        <v>36</v>
      </c>
      <c r="BA26" s="75" t="s">
        <v>31</v>
      </c>
      <c r="BB26" s="300">
        <f>SUM(BB24:BB25)</f>
        <v>35</v>
      </c>
      <c r="BC26" s="301">
        <f>BB26/($F32*$G25)</f>
        <v>0.39872408293460926</v>
      </c>
      <c r="BD26" s="298" t="s">
        <v>31</v>
      </c>
      <c r="BE26" s="299">
        <f>+BF26/$G24</f>
        <v>1.1999999999999999E-2</v>
      </c>
      <c r="BF26" s="74">
        <f>SUM(BF24:BF25)</f>
        <v>1.7999999999999998</v>
      </c>
      <c r="BG26" s="75" t="s">
        <v>31</v>
      </c>
      <c r="BH26" s="300">
        <f>SUM(BH24:BH25)</f>
        <v>1.5</v>
      </c>
      <c r="BI26" s="76">
        <f>BH26/($F32*$G25)</f>
        <v>1.7088174982911826E-2</v>
      </c>
    </row>
    <row r="27" spans="1:61" ht="17.25" customHeight="1">
      <c r="A27" s="291" t="s">
        <v>81</v>
      </c>
      <c r="B27" s="535" t="s">
        <v>34</v>
      </c>
      <c r="C27" s="461"/>
      <c r="D27" s="462"/>
      <c r="E27" s="536">
        <f>(I25+O25+U25+AA25+AG25+AM25+AS25+AY25+BE25+AS30+AY30+BE30+I30)/2</f>
        <v>0.47500000000000009</v>
      </c>
      <c r="F27" s="464"/>
      <c r="G27" s="459"/>
      <c r="H27" s="537" t="str">
        <f>VLOOKUP(H23,Plancha2!A:M,2,FALSE())</f>
        <v>Poisson</v>
      </c>
      <c r="I27" s="474"/>
      <c r="J27" s="474"/>
      <c r="K27" s="306"/>
      <c r="L27" s="529">
        <f>J26</f>
        <v>3.9</v>
      </c>
      <c r="M27" s="475"/>
      <c r="N27" s="304" t="str">
        <f>VLOOKUP(N23,Friteuse!A:M,2,FALSE())</f>
        <v>Aiguilette</v>
      </c>
      <c r="O27" s="305"/>
      <c r="P27" s="305"/>
      <c r="Q27" s="77"/>
      <c r="R27" s="529">
        <f>VLOOKUP(N23,Friteuse!A:M,3,FALSE())*P26</f>
        <v>1.032</v>
      </c>
      <c r="S27" s="475"/>
      <c r="T27" s="302" t="str">
        <f>VLOOKUP(T23,Wok!A:M,2,FALSE())</f>
        <v>Riz carnoli CUIT (2kg pour 1,6L)</v>
      </c>
      <c r="U27" s="303"/>
      <c r="V27" s="303"/>
      <c r="W27" s="77"/>
      <c r="X27" s="529">
        <f>VLOOKUP(T23,Wok!A:M,3,FALSE())*V26</f>
        <v>1.4039999999999999</v>
      </c>
      <c r="Y27" s="475"/>
      <c r="Z27" s="302" t="str">
        <f>VLOOKUP(Z23,Poele!A:M,2,FALSE())</f>
        <v>cote de porc</v>
      </c>
      <c r="AA27" s="303"/>
      <c r="AB27" s="303"/>
      <c r="AC27" s="77"/>
      <c r="AD27" s="529">
        <f>VLOOKUP(Z23,Poele!A:M,3,FALSE())*AB26</f>
        <v>1.0799999999999998</v>
      </c>
      <c r="AE27" s="475"/>
      <c r="AF27" s="302" t="str">
        <f>VLOOKUP(AF23,Four!A:M,2,FALSE())</f>
        <v>Dinde sauté</v>
      </c>
      <c r="AG27" s="303"/>
      <c r="AH27" s="303"/>
      <c r="AI27" s="77"/>
      <c r="AJ27" s="529">
        <f>VLOOKUP(AF23,Four!A:M,3,FALSE())*AH26</f>
        <v>6.03</v>
      </c>
      <c r="AK27" s="475"/>
      <c r="AL27" s="302" t="str">
        <f>VLOOKUP(AL23,Four!A:M,2,FALSE())</f>
        <v>Choux Bruxelles</v>
      </c>
      <c r="AM27" s="303"/>
      <c r="AN27" s="303"/>
      <c r="AO27" s="77"/>
      <c r="AP27" s="529">
        <f>VLOOKUP(AL23,Four!A:M,3,FALSE())*AN26</f>
        <v>3.12</v>
      </c>
      <c r="AQ27" s="475"/>
      <c r="AR27" s="538" t="s">
        <v>42</v>
      </c>
      <c r="AS27" s="461"/>
      <c r="AT27" s="461"/>
      <c r="AU27" s="306"/>
      <c r="AV27" s="529">
        <f>AT26</f>
        <v>7.5</v>
      </c>
      <c r="AW27" s="475"/>
      <c r="AX27" s="528" t="s">
        <v>156</v>
      </c>
      <c r="AY27" s="471"/>
      <c r="AZ27" s="471"/>
      <c r="BA27" s="78"/>
      <c r="BB27" s="529">
        <f>AZ26</f>
        <v>36</v>
      </c>
      <c r="BC27" s="475"/>
      <c r="BD27" s="528" t="s">
        <v>157</v>
      </c>
      <c r="BE27" s="471"/>
      <c r="BF27" s="471"/>
      <c r="BG27" s="78"/>
      <c r="BH27" s="529">
        <f>BF26</f>
        <v>1.7999999999999998</v>
      </c>
      <c r="BI27" s="503"/>
    </row>
    <row r="28" spans="1:61" ht="17.25" customHeight="1">
      <c r="A28" s="291" t="s">
        <v>95</v>
      </c>
      <c r="B28" s="539" t="s">
        <v>46</v>
      </c>
      <c r="C28" s="445"/>
      <c r="D28" s="517"/>
      <c r="E28" s="540">
        <f>(L26+R26+X26+AD26+AJ26+AP26+AV26+BB26+BH26+BH31+(BB31*BB28/1000)+L31+AV31)/(G25*F32)</f>
        <v>1</v>
      </c>
      <c r="F28" s="474"/>
      <c r="G28" s="475"/>
      <c r="H28" s="521" t="s">
        <v>160</v>
      </c>
      <c r="I28" s="431"/>
      <c r="J28" s="431"/>
      <c r="K28" s="431"/>
      <c r="L28" s="431"/>
      <c r="M28" s="432"/>
      <c r="N28" s="304" t="str">
        <f>VLOOKUP(N23,Friteuse!A:M,4,FALSE())</f>
        <v>Creme</v>
      </c>
      <c r="O28" s="79"/>
      <c r="P28" s="79"/>
      <c r="Q28" s="79"/>
      <c r="R28" s="530">
        <f>VLOOKUP(N23,Friteuse!A:M,5,FALSE())*P26</f>
        <v>1.2E-2</v>
      </c>
      <c r="S28" s="475"/>
      <c r="T28" s="302" t="str">
        <f>VLOOKUP(T23,Wok!A:M,4,FALSE())</f>
        <v>Courgettes</v>
      </c>
      <c r="U28" s="77"/>
      <c r="V28" s="77"/>
      <c r="W28" s="77"/>
      <c r="X28" s="530">
        <f>VLOOKUP(T23,Wok!A:M,5,FALSE())*V26</f>
        <v>0.39</v>
      </c>
      <c r="Y28" s="475"/>
      <c r="Z28" s="302" t="str">
        <f>VLOOKUP(Z23,Poele!A:M,4,FALSE())</f>
        <v>moutarde à l'ancienne</v>
      </c>
      <c r="AA28" s="77"/>
      <c r="AB28" s="77"/>
      <c r="AC28" s="77"/>
      <c r="AD28" s="530">
        <f>VLOOKUP(Z23,Poele!A:M,5,FALSE())*AB26</f>
        <v>0.53999999999999992</v>
      </c>
      <c r="AE28" s="475"/>
      <c r="AF28" s="302" t="str">
        <f>VLOOKUP(AF23,Four!A:M,4,FALSE())</f>
        <v>Carottes</v>
      </c>
      <c r="AG28" s="77"/>
      <c r="AH28" s="77"/>
      <c r="AI28" s="77"/>
      <c r="AJ28" s="530">
        <f>VLOOKUP(AF23,Four!A:M,5,FALSE())*AH26</f>
        <v>0.54</v>
      </c>
      <c r="AK28" s="475"/>
      <c r="AL28" s="302" t="str">
        <f>VLOOKUP(AL23,Four!A:M,4,FALSE())</f>
        <v>Carottes</v>
      </c>
      <c r="AM28" s="77"/>
      <c r="AN28" s="77"/>
      <c r="AO28" s="77"/>
      <c r="AP28" s="530">
        <f>VLOOKUP(AL23,Four!A:M,5,FALSE())*AN26</f>
        <v>0.39</v>
      </c>
      <c r="AQ28" s="475"/>
      <c r="AR28" s="481" t="s">
        <v>54</v>
      </c>
      <c r="AS28" s="431"/>
      <c r="AT28" s="431"/>
      <c r="AU28" s="431"/>
      <c r="AV28" s="431"/>
      <c r="AW28" s="432"/>
      <c r="AX28" s="481" t="s">
        <v>55</v>
      </c>
      <c r="AY28" s="431"/>
      <c r="AZ28" s="431"/>
      <c r="BA28" s="431"/>
      <c r="BB28" s="531">
        <v>60</v>
      </c>
      <c r="BC28" s="432"/>
      <c r="BD28" s="483" t="s">
        <v>163</v>
      </c>
      <c r="BE28" s="431"/>
      <c r="BF28" s="431"/>
      <c r="BG28" s="431"/>
      <c r="BH28" s="431"/>
      <c r="BI28" s="484"/>
    </row>
    <row r="29" spans="1:61" ht="17.25" customHeight="1">
      <c r="A29" s="291" t="s">
        <v>81</v>
      </c>
      <c r="B29" s="513" t="s">
        <v>158</v>
      </c>
      <c r="C29" s="445"/>
      <c r="D29" s="445"/>
      <c r="E29" s="445"/>
      <c r="F29" s="541">
        <v>0.6</v>
      </c>
      <c r="G29" s="446"/>
      <c r="H29" s="276" t="s">
        <v>23</v>
      </c>
      <c r="I29" s="62">
        <v>7.0000000000000007E-2</v>
      </c>
      <c r="J29" s="63">
        <f>+I29*$C24*$F$9</f>
        <v>4.2</v>
      </c>
      <c r="K29" s="276" t="s">
        <v>24</v>
      </c>
      <c r="L29" s="64">
        <v>4</v>
      </c>
      <c r="M29" s="277">
        <f>L29/($F32*$C25)</f>
        <v>6.835269993164729E-2</v>
      </c>
      <c r="N29" s="304" t="str">
        <f>VLOOKUP(N23,Friteuse!A:M,6,FALSE())</f>
        <v>Tandoori</v>
      </c>
      <c r="O29" s="79"/>
      <c r="P29" s="79"/>
      <c r="Q29" s="79"/>
      <c r="R29" s="530">
        <f>VLOOKUP(N23,Friteuse!A:M,7,FALSE())*P26</f>
        <v>1.7999999999999999E-2</v>
      </c>
      <c r="S29" s="475"/>
      <c r="T29" s="302" t="str">
        <f>VLOOKUP(T23,Wok!A:M,6,FALSE())</f>
        <v>Champignon</v>
      </c>
      <c r="U29" s="77"/>
      <c r="V29" s="77"/>
      <c r="W29" s="77"/>
      <c r="X29" s="530">
        <f>VLOOKUP(T23,Wok!A:M,7,FALSE())*V26</f>
        <v>0.624</v>
      </c>
      <c r="Y29" s="475"/>
      <c r="Z29" s="302" t="str">
        <f>VLOOKUP(Z23,Poele!A:M,6,FALSE())</f>
        <v>oignons</v>
      </c>
      <c r="AA29" s="77"/>
      <c r="AB29" s="77"/>
      <c r="AC29" s="77"/>
      <c r="AD29" s="530">
        <f>VLOOKUP(Z23,Poele!A:M,7,FALSE())*AB26</f>
        <v>0.53999999999999992</v>
      </c>
      <c r="AE29" s="475"/>
      <c r="AF29" s="302" t="str">
        <f>VLOOKUP(AF23,Four!A:M,6,FALSE())</f>
        <v>Poireaux</v>
      </c>
      <c r="AG29" s="77"/>
      <c r="AH29" s="77"/>
      <c r="AI29" s="77"/>
      <c r="AJ29" s="530">
        <f>VLOOKUP(AF23,Four!A:M,7,FALSE())*AH26</f>
        <v>0.54</v>
      </c>
      <c r="AK29" s="475"/>
      <c r="AL29" s="302" t="str">
        <f>VLOOKUP(AL23,Four!A:M,6,FALSE())</f>
        <v>Oignons</v>
      </c>
      <c r="AM29" s="77"/>
      <c r="AN29" s="77"/>
      <c r="AO29" s="77"/>
      <c r="AP29" s="530">
        <f>VLOOKUP(AL23,Four!A:M,7,FALSE())*AN26</f>
        <v>0.39</v>
      </c>
      <c r="AQ29" s="475"/>
      <c r="AR29" s="276" t="s">
        <v>23</v>
      </c>
      <c r="AS29" s="62">
        <v>0.08</v>
      </c>
      <c r="AT29" s="63">
        <f>+AS29*$C24*$F$9</f>
        <v>4.8</v>
      </c>
      <c r="AU29" s="276" t="s">
        <v>24</v>
      </c>
      <c r="AV29" s="64">
        <v>4</v>
      </c>
      <c r="AW29" s="277">
        <f>AV29/($F32*$C25)</f>
        <v>6.835269993164729E-2</v>
      </c>
      <c r="AX29" s="307" t="s">
        <v>23</v>
      </c>
      <c r="AY29" s="62">
        <v>0.03</v>
      </c>
      <c r="AZ29" s="95">
        <f>AY29*C24*F29/(BB28/1000)</f>
        <v>29.999999999999996</v>
      </c>
      <c r="BA29" s="276" t="s">
        <v>24</v>
      </c>
      <c r="BB29" s="96">
        <v>25</v>
      </c>
      <c r="BC29" s="313">
        <f>(BB29*BB28/1000)/($F32*$C25)</f>
        <v>2.5632262474367735E-2</v>
      </c>
      <c r="BD29" s="276" t="s">
        <v>23</v>
      </c>
      <c r="BE29" s="62">
        <v>7.0000000000000007E-2</v>
      </c>
      <c r="BF29" s="63">
        <f>+BE29*$C24*$F$9</f>
        <v>4.2</v>
      </c>
      <c r="BG29" s="276" t="s">
        <v>24</v>
      </c>
      <c r="BH29" s="64">
        <v>4</v>
      </c>
      <c r="BI29" s="65">
        <f>BH29/($F32*$C25)</f>
        <v>6.835269993164729E-2</v>
      </c>
    </row>
    <row r="30" spans="1:61" ht="17.25" customHeight="1">
      <c r="A30" s="291" t="s">
        <v>94</v>
      </c>
      <c r="B30" s="544" t="s">
        <v>178</v>
      </c>
      <c r="C30" s="445"/>
      <c r="D30" s="445"/>
      <c r="E30" s="446"/>
      <c r="F30" s="319">
        <f>(L24+R24+L29+X24+AD24+AJ24+AP24+AV24+AV29+BB24+BB29*(BB28/1000)+BH24+BH29)/C25</f>
        <v>0.61</v>
      </c>
      <c r="G30" s="320">
        <f>F30/(F30+F31)</f>
        <v>0.5324720670391061</v>
      </c>
      <c r="H30" s="70" t="s">
        <v>27</v>
      </c>
      <c r="I30" s="286">
        <v>7.0000000000000007E-2</v>
      </c>
      <c r="J30" s="287">
        <f>+I30*$E24*$F29</f>
        <v>2.1</v>
      </c>
      <c r="K30" s="70" t="s">
        <v>28</v>
      </c>
      <c r="L30" s="288">
        <v>2</v>
      </c>
      <c r="M30" s="289">
        <f>L30/($F32*$E25)</f>
        <v>6.835269993164729E-2</v>
      </c>
      <c r="N30" s="304" t="str">
        <f>VLOOKUP(N23,Friteuse!A:M,8,FALSE())</f>
        <v>Sel</v>
      </c>
      <c r="O30" s="79"/>
      <c r="P30" s="79"/>
      <c r="Q30" s="79"/>
      <c r="R30" s="530">
        <f>VLOOKUP(N23,Friteuse!A:M,9,FALSE())*P26</f>
        <v>1.7999999999999999E-2</v>
      </c>
      <c r="S30" s="475"/>
      <c r="T30" s="302" t="str">
        <f>VLOOKUP(T23,Wok!A:M,8,FALSE())</f>
        <v>Creme culinaire</v>
      </c>
      <c r="U30" s="77"/>
      <c r="V30" s="77"/>
      <c r="W30" s="77"/>
      <c r="X30" s="530">
        <f>VLOOKUP(T23,Wok!A:M,9,FALSE())*V26</f>
        <v>0.58499999999999996</v>
      </c>
      <c r="Y30" s="475"/>
      <c r="Z30" s="302" t="str">
        <f>VLOOKUP(Z23,Poele!A:M,8,FALSE())</f>
        <v>crème liquide</v>
      </c>
      <c r="AA30" s="77"/>
      <c r="AB30" s="77"/>
      <c r="AC30" s="77"/>
      <c r="AD30" s="530">
        <f>VLOOKUP(Z23,Poele!A:M,9,FALSE())*AB26</f>
        <v>0.40499999999999997</v>
      </c>
      <c r="AE30" s="475"/>
      <c r="AF30" s="302" t="str">
        <f>VLOOKUP(AF23,Four!A:M,8,FALSE())</f>
        <v>Celeri</v>
      </c>
      <c r="AG30" s="77"/>
      <c r="AH30" s="77"/>
      <c r="AI30" s="77"/>
      <c r="AJ30" s="530">
        <f>VLOOKUP(AF23,Four!A:M,9,FALSE())*AH26</f>
        <v>0.54</v>
      </c>
      <c r="AK30" s="475"/>
      <c r="AL30" s="302" t="str">
        <f>VLOOKUP(AL23,Four!A:M,8,FALSE())</f>
        <v>Bouillon de volaille</v>
      </c>
      <c r="AM30" s="77"/>
      <c r="AN30" s="77"/>
      <c r="AO30" s="77"/>
      <c r="AP30" s="530">
        <f>VLOOKUP(AL23,Four!A:M,9,FALSE())*AN26</f>
        <v>0</v>
      </c>
      <c r="AQ30" s="475"/>
      <c r="AR30" s="70" t="s">
        <v>27</v>
      </c>
      <c r="AS30" s="286">
        <v>0.09</v>
      </c>
      <c r="AT30" s="287">
        <f>+AS30*$E24*$F29</f>
        <v>2.6999999999999997</v>
      </c>
      <c r="AU30" s="70" t="s">
        <v>28</v>
      </c>
      <c r="AV30" s="288">
        <v>2</v>
      </c>
      <c r="AW30" s="289">
        <f>AV30/($F32*$E25)</f>
        <v>6.835269993164729E-2</v>
      </c>
      <c r="AX30" s="80" t="s">
        <v>27</v>
      </c>
      <c r="AY30" s="286">
        <v>0.03</v>
      </c>
      <c r="AZ30" s="321">
        <f>AY30*E24*F29/(BB28/1000)</f>
        <v>14.999999999999998</v>
      </c>
      <c r="BA30" s="70" t="s">
        <v>28</v>
      </c>
      <c r="BB30" s="322">
        <v>13</v>
      </c>
      <c r="BC30" s="315">
        <f>(BB30*BB28/1000)/($F32*$E25)</f>
        <v>2.6657552973342446E-2</v>
      </c>
      <c r="BD30" s="70" t="s">
        <v>27</v>
      </c>
      <c r="BE30" s="286">
        <v>7.0000000000000007E-2</v>
      </c>
      <c r="BF30" s="287">
        <f>+BE30*$E24*$F29</f>
        <v>2.1</v>
      </c>
      <c r="BG30" s="70" t="s">
        <v>28</v>
      </c>
      <c r="BH30" s="288">
        <v>2</v>
      </c>
      <c r="BI30" s="290">
        <f>BH30/($F32*$E25)</f>
        <v>6.835269993164729E-2</v>
      </c>
    </row>
    <row r="31" spans="1:61" ht="17.25" customHeight="1">
      <c r="A31" s="291" t="s">
        <v>45</v>
      </c>
      <c r="B31" s="447"/>
      <c r="C31" s="434"/>
      <c r="D31" s="434"/>
      <c r="E31" s="435"/>
      <c r="F31" s="323">
        <f>(L25+L30+R25+X25+AD25+AJ25+AP25+AV25+AV30+BB25+BB30*(BB28/1000)+BH30+BH25)/E25</f>
        <v>0.53560000000000008</v>
      </c>
      <c r="G31" s="324">
        <f>F31/(F30+F31)</f>
        <v>0.46752793296089395</v>
      </c>
      <c r="H31" s="298" t="s">
        <v>31</v>
      </c>
      <c r="I31" s="299">
        <f>+J31/$G24</f>
        <v>4.2000000000000003E-2</v>
      </c>
      <c r="J31" s="74">
        <f>SUM(J29:J30)</f>
        <v>6.3000000000000007</v>
      </c>
      <c r="K31" s="75" t="s">
        <v>31</v>
      </c>
      <c r="L31" s="300">
        <f>SUM(L29:L30)</f>
        <v>6</v>
      </c>
      <c r="M31" s="301">
        <f>L31/($F32*$G25)</f>
        <v>6.8352699931647304E-2</v>
      </c>
      <c r="N31" s="304" t="str">
        <f>VLOOKUP(N23,Friteuse!A:M,10,FALSE())</f>
        <v>Panko</v>
      </c>
      <c r="O31" s="78"/>
      <c r="P31" s="78"/>
      <c r="Q31" s="78"/>
      <c r="R31" s="530">
        <f>VLOOKUP(N23,Friteuse!A:M,11,FALSE())*P26</f>
        <v>0.12</v>
      </c>
      <c r="S31" s="475"/>
      <c r="T31" s="302" t="str">
        <f>VLOOKUP(T23,Wok!A:M,10,FALSE())</f>
        <v>Oignon</v>
      </c>
      <c r="U31" s="81"/>
      <c r="V31" s="81"/>
      <c r="W31" s="81"/>
      <c r="X31" s="530">
        <f>VLOOKUP(T23,Wok!A:M,11,FALSE())*V26</f>
        <v>0.19500000000000001</v>
      </c>
      <c r="Y31" s="475"/>
      <c r="Z31" s="302">
        <f>VLOOKUP(Z23,Poele!A:M,10,FALSE())</f>
        <v>0</v>
      </c>
      <c r="AA31" s="81"/>
      <c r="AB31" s="81"/>
      <c r="AC31" s="81"/>
      <c r="AD31" s="530">
        <f>VLOOKUP(Z23,Poele!A:M,11,FALSE())*AB26</f>
        <v>0</v>
      </c>
      <c r="AE31" s="475"/>
      <c r="AF31" s="302" t="str">
        <f>VLOOKUP(AF23,Four!A:M,10,FALSE())</f>
        <v>Champignons</v>
      </c>
      <c r="AG31" s="81"/>
      <c r="AH31" s="81"/>
      <c r="AI31" s="81"/>
      <c r="AJ31" s="530">
        <f>VLOOKUP(AF23,Four!A:M,11,FALSE())*AH26</f>
        <v>0.80999999999999994</v>
      </c>
      <c r="AK31" s="475"/>
      <c r="AL31" s="302">
        <f>VLOOKUP(AL23,Four!A:M,10,FALSE())</f>
        <v>0</v>
      </c>
      <c r="AM31" s="81"/>
      <c r="AN31" s="81"/>
      <c r="AO31" s="81"/>
      <c r="AP31" s="530">
        <f>VLOOKUP(AL23,Four!A:M,11,FALSE())*AN26</f>
        <v>0</v>
      </c>
      <c r="AQ31" s="475"/>
      <c r="AR31" s="298" t="s">
        <v>31</v>
      </c>
      <c r="AS31" s="299">
        <f>+AT31/$G24</f>
        <v>0.05</v>
      </c>
      <c r="AT31" s="74">
        <f>SUM(AT29:AT30)</f>
        <v>7.5</v>
      </c>
      <c r="AU31" s="75" t="s">
        <v>31</v>
      </c>
      <c r="AV31" s="300">
        <f>SUM(AV29:AV30)</f>
        <v>6</v>
      </c>
      <c r="AW31" s="301">
        <f>AV31/($F32*$G25)</f>
        <v>6.8352699931647304E-2</v>
      </c>
      <c r="AX31" s="308" t="s">
        <v>31</v>
      </c>
      <c r="AY31" s="299"/>
      <c r="AZ31" s="97">
        <f>SUM(AZ29:AZ30)</f>
        <v>44.999999999999993</v>
      </c>
      <c r="BA31" s="75" t="s">
        <v>31</v>
      </c>
      <c r="BB31" s="325">
        <f>SUM(BB29:BB30)</f>
        <v>38</v>
      </c>
      <c r="BC31" s="295">
        <f>(BB31*BB28/1000)/($F32*$G25)</f>
        <v>2.5974025974025972E-2</v>
      </c>
      <c r="BD31" s="298" t="s">
        <v>31</v>
      </c>
      <c r="BE31" s="299">
        <f>+BF31/$G24</f>
        <v>4.2000000000000003E-2</v>
      </c>
      <c r="BF31" s="74">
        <f>SUM(BF29:BF30)</f>
        <v>6.3000000000000007</v>
      </c>
      <c r="BG31" s="75" t="s">
        <v>31</v>
      </c>
      <c r="BH31" s="300">
        <f>SUM(BH29:BH30)</f>
        <v>6</v>
      </c>
      <c r="BI31" s="76">
        <f>BH31/($F32*$G25)</f>
        <v>6.8352699931647304E-2</v>
      </c>
    </row>
    <row r="32" spans="1:61" ht="17.25" customHeight="1">
      <c r="A32" s="291" t="s">
        <v>56</v>
      </c>
      <c r="B32" s="545" t="s">
        <v>159</v>
      </c>
      <c r="C32" s="431"/>
      <c r="D32" s="431"/>
      <c r="E32" s="432"/>
      <c r="F32" s="546">
        <f>(L26+L31+R26+X26+AD26+AJ26+AP26+AV26+AV31+BB31*BB28/1000+BB26+BH26+BH31)/G25</f>
        <v>0.58520000000000005</v>
      </c>
      <c r="G32" s="435"/>
      <c r="H32" s="302" t="str">
        <f>VLOOKUP(H28,Plancha2!A:M,2,FALSE())</f>
        <v>Lamelle encornet</v>
      </c>
      <c r="I32" s="82"/>
      <c r="J32" s="78"/>
      <c r="K32" s="78"/>
      <c r="L32" s="529">
        <f>J31</f>
        <v>6.3000000000000007</v>
      </c>
      <c r="M32" s="475"/>
      <c r="N32" s="304">
        <f>VLOOKUP(N23,Friteuse!A:M,12,FALSE())</f>
        <v>0</v>
      </c>
      <c r="O32" s="306"/>
      <c r="P32" s="306"/>
      <c r="Q32" s="306"/>
      <c r="R32" s="542">
        <f>VLOOKUP(N23,Friteuse!A:M,13,FALSE())*P26</f>
        <v>0</v>
      </c>
      <c r="S32" s="435"/>
      <c r="T32" s="302" t="str">
        <f>VLOOKUP(T23,Wok!A:M,12,FALSE())</f>
        <v>Base bouillon</v>
      </c>
      <c r="U32" s="309"/>
      <c r="V32" s="309"/>
      <c r="W32" s="309"/>
      <c r="X32" s="542">
        <f>VLOOKUP(T23,Wok!A:M,13,FALSE())*V26</f>
        <v>0.70199999999999996</v>
      </c>
      <c r="Y32" s="435"/>
      <c r="Z32" s="302">
        <f>VLOOKUP(Z23,Poele!A:M,12,FALSE())</f>
        <v>0</v>
      </c>
      <c r="AA32" s="309"/>
      <c r="AB32" s="309"/>
      <c r="AC32" s="309"/>
      <c r="AD32" s="542">
        <f>VLOOKUP(Z23,Poele!A:M,13,FALSE())*AB26</f>
        <v>0</v>
      </c>
      <c r="AE32" s="435"/>
      <c r="AF32" s="302" t="str">
        <f>VLOOKUP(AF23,Four!A:M,12,FALSE())</f>
        <v>Oignons</v>
      </c>
      <c r="AG32" s="309"/>
      <c r="AH32" s="309"/>
      <c r="AI32" s="309"/>
      <c r="AJ32" s="542">
        <f>VLOOKUP(AF23,Four!A:M,13,FALSE())*AH26</f>
        <v>0.54</v>
      </c>
      <c r="AK32" s="435"/>
      <c r="AL32" s="302">
        <f>VLOOKUP(AL23,Four!A:M,12,FALSE())</f>
        <v>0</v>
      </c>
      <c r="AM32" s="309"/>
      <c r="AN32" s="309"/>
      <c r="AO32" s="309"/>
      <c r="AP32" s="542">
        <f>VLOOKUP(AL23,Four!A:M,13,FALSE())*AN26</f>
        <v>0</v>
      </c>
      <c r="AQ32" s="435"/>
      <c r="AR32" s="310" t="s">
        <v>74</v>
      </c>
      <c r="AS32" s="82"/>
      <c r="AT32" s="78"/>
      <c r="AU32" s="78"/>
      <c r="AV32" s="529">
        <f>AT31</f>
        <v>7.5</v>
      </c>
      <c r="AW32" s="475"/>
      <c r="AX32" s="538" t="s">
        <v>75</v>
      </c>
      <c r="AY32" s="461"/>
      <c r="AZ32" s="461"/>
      <c r="BA32" s="311"/>
      <c r="BB32" s="529">
        <f>AZ31*(BB28/1000)</f>
        <v>2.6999999999999993</v>
      </c>
      <c r="BC32" s="475"/>
      <c r="BD32" s="543" t="s">
        <v>115</v>
      </c>
      <c r="BE32" s="461"/>
      <c r="BF32" s="461"/>
      <c r="BG32" s="311"/>
      <c r="BH32" s="529">
        <f>BF31</f>
        <v>6.3000000000000007</v>
      </c>
      <c r="BI32" s="503"/>
    </row>
    <row r="33" spans="1:61" ht="17.25" customHeight="1">
      <c r="A33" s="55">
        <f>A23+1</f>
        <v>45309</v>
      </c>
      <c r="B33" s="547" t="s">
        <v>8</v>
      </c>
      <c r="C33" s="432"/>
      <c r="D33" s="547" t="s">
        <v>9</v>
      </c>
      <c r="E33" s="432"/>
      <c r="F33" s="317" t="s">
        <v>10</v>
      </c>
      <c r="G33" s="318"/>
      <c r="H33" s="521" t="s">
        <v>149</v>
      </c>
      <c r="I33" s="431"/>
      <c r="J33" s="431"/>
      <c r="K33" s="431"/>
      <c r="L33" s="431"/>
      <c r="M33" s="432"/>
      <c r="N33" s="522" t="s">
        <v>150</v>
      </c>
      <c r="O33" s="431"/>
      <c r="P33" s="431"/>
      <c r="Q33" s="431"/>
      <c r="R33" s="431"/>
      <c r="S33" s="432"/>
      <c r="T33" s="523" t="s">
        <v>181</v>
      </c>
      <c r="U33" s="431"/>
      <c r="V33" s="431"/>
      <c r="W33" s="431"/>
      <c r="X33" s="431"/>
      <c r="Y33" s="432"/>
      <c r="Z33" s="523" t="s">
        <v>242</v>
      </c>
      <c r="AA33" s="431"/>
      <c r="AB33" s="431"/>
      <c r="AC33" s="431"/>
      <c r="AD33" s="431"/>
      <c r="AE33" s="432"/>
      <c r="AF33" s="519" t="s">
        <v>277</v>
      </c>
      <c r="AG33" s="431"/>
      <c r="AH33" s="431"/>
      <c r="AI33" s="431"/>
      <c r="AJ33" s="431"/>
      <c r="AK33" s="432"/>
      <c r="AL33" s="519" t="s">
        <v>196</v>
      </c>
      <c r="AM33" s="431"/>
      <c r="AN33" s="431"/>
      <c r="AO33" s="431"/>
      <c r="AP33" s="431"/>
      <c r="AQ33" s="432"/>
      <c r="AR33" s="481" t="s">
        <v>18</v>
      </c>
      <c r="AS33" s="431"/>
      <c r="AT33" s="431"/>
      <c r="AU33" s="431"/>
      <c r="AV33" s="431"/>
      <c r="AW33" s="432"/>
      <c r="AX33" s="482" t="s">
        <v>154</v>
      </c>
      <c r="AY33" s="434"/>
      <c r="AZ33" s="434"/>
      <c r="BA33" s="434"/>
      <c r="BB33" s="434"/>
      <c r="BC33" s="435"/>
      <c r="BD33" s="483" t="s">
        <v>155</v>
      </c>
      <c r="BE33" s="431"/>
      <c r="BF33" s="431"/>
      <c r="BG33" s="431"/>
      <c r="BH33" s="431"/>
      <c r="BI33" s="484"/>
    </row>
    <row r="34" spans="1:61" ht="17.25" customHeight="1">
      <c r="A34" s="269"/>
      <c r="B34" s="270" t="s">
        <v>22</v>
      </c>
      <c r="C34" s="271">
        <v>100</v>
      </c>
      <c r="D34" s="270" t="s">
        <v>22</v>
      </c>
      <c r="E34" s="272">
        <v>50</v>
      </c>
      <c r="F34" s="270" t="s">
        <v>22</v>
      </c>
      <c r="G34" s="56">
        <f t="shared" ref="G34:G35" si="3">+C34+E34</f>
        <v>150</v>
      </c>
      <c r="H34" s="276" t="s">
        <v>23</v>
      </c>
      <c r="I34" s="62">
        <v>0.05</v>
      </c>
      <c r="J34" s="63">
        <f>+I34*$C34*$F39</f>
        <v>3</v>
      </c>
      <c r="K34" s="276" t="s">
        <v>24</v>
      </c>
      <c r="L34" s="64">
        <v>3</v>
      </c>
      <c r="M34" s="277">
        <f>L34/($F42*$C35)</f>
        <v>5.1264524948735471E-2</v>
      </c>
      <c r="N34" s="273" t="s">
        <v>23</v>
      </c>
      <c r="O34" s="57">
        <v>0.01</v>
      </c>
      <c r="P34" s="58">
        <f>+O34*$C34*$F39</f>
        <v>0.6</v>
      </c>
      <c r="Q34" s="273" t="s">
        <v>24</v>
      </c>
      <c r="R34" s="84">
        <v>0.5</v>
      </c>
      <c r="S34" s="313">
        <f>R34/($F42*$C35)</f>
        <v>8.5440874914559112E-3</v>
      </c>
      <c r="T34" s="274" t="s">
        <v>23</v>
      </c>
      <c r="U34" s="60">
        <v>0.05</v>
      </c>
      <c r="V34" s="61">
        <f>+U34*$C34*$F39</f>
        <v>3</v>
      </c>
      <c r="W34" s="274" t="s">
        <v>24</v>
      </c>
      <c r="X34" s="59">
        <v>3</v>
      </c>
      <c r="Y34" s="275">
        <f>X34/($F42*$C35)</f>
        <v>5.1264524948735471E-2</v>
      </c>
      <c r="Z34" s="274" t="s">
        <v>23</v>
      </c>
      <c r="AA34" s="60">
        <v>0.03</v>
      </c>
      <c r="AB34" s="61">
        <f>+AA34*$C34*$F39</f>
        <v>1.7999999999999998</v>
      </c>
      <c r="AC34" s="274" t="s">
        <v>24</v>
      </c>
      <c r="AD34" s="59">
        <v>2</v>
      </c>
      <c r="AE34" s="275">
        <f>AD34/($F42*$C35)</f>
        <v>3.4176349965823645E-2</v>
      </c>
      <c r="AF34" s="274" t="s">
        <v>23</v>
      </c>
      <c r="AG34" s="60">
        <v>0.1</v>
      </c>
      <c r="AH34" s="61">
        <f>+AG34*$C34*$F39</f>
        <v>6</v>
      </c>
      <c r="AI34" s="274" t="s">
        <v>24</v>
      </c>
      <c r="AJ34" s="59">
        <v>6</v>
      </c>
      <c r="AK34" s="275">
        <f>AJ34/($F42*$C35)</f>
        <v>0.10252904989747094</v>
      </c>
      <c r="AL34" s="274" t="s">
        <v>23</v>
      </c>
      <c r="AM34" s="60">
        <v>0.05</v>
      </c>
      <c r="AN34" s="61">
        <f>+AM34*$C34*$F39</f>
        <v>3</v>
      </c>
      <c r="AO34" s="274" t="s">
        <v>24</v>
      </c>
      <c r="AP34" s="59">
        <v>3</v>
      </c>
      <c r="AQ34" s="275">
        <f>AP34/($F42*$C35)</f>
        <v>5.1264524948735471E-2</v>
      </c>
      <c r="AR34" s="276" t="s">
        <v>23</v>
      </c>
      <c r="AS34" s="62">
        <v>0.08</v>
      </c>
      <c r="AT34" s="63">
        <f>+AS34*$C34*$F39</f>
        <v>4.8</v>
      </c>
      <c r="AU34" s="276" t="s">
        <v>24</v>
      </c>
      <c r="AV34" s="64">
        <v>4</v>
      </c>
      <c r="AW34" s="277">
        <f>AV34/($F42*$C35)</f>
        <v>6.835269993164729E-2</v>
      </c>
      <c r="AX34" s="276" t="s">
        <v>23</v>
      </c>
      <c r="AY34" s="62">
        <v>0.43</v>
      </c>
      <c r="AZ34" s="63">
        <f>+AY34*$C34*$F39</f>
        <v>25.8</v>
      </c>
      <c r="BA34" s="276" t="s">
        <v>24</v>
      </c>
      <c r="BB34" s="64">
        <v>25</v>
      </c>
      <c r="BC34" s="277">
        <f>BB34/($F42*$C35)</f>
        <v>0.42720437457279559</v>
      </c>
      <c r="BD34" s="276" t="s">
        <v>23</v>
      </c>
      <c r="BE34" s="62">
        <v>0.02</v>
      </c>
      <c r="BF34" s="63">
        <f>+BE34*$C34*$F39</f>
        <v>1.2</v>
      </c>
      <c r="BG34" s="276" t="s">
        <v>24</v>
      </c>
      <c r="BH34" s="64">
        <v>1</v>
      </c>
      <c r="BI34" s="65">
        <f>BH34/($F42*$C35)</f>
        <v>1.7088174982911822E-2</v>
      </c>
    </row>
    <row r="35" spans="1:61" ht="17.25" customHeight="1">
      <c r="A35" s="278" t="s">
        <v>111</v>
      </c>
      <c r="B35" s="266" t="s">
        <v>26</v>
      </c>
      <c r="C35" s="66">
        <v>100</v>
      </c>
      <c r="D35" s="266" t="s">
        <v>26</v>
      </c>
      <c r="E35" s="67">
        <v>50</v>
      </c>
      <c r="F35" s="266" t="s">
        <v>26</v>
      </c>
      <c r="G35" s="279">
        <f t="shared" si="3"/>
        <v>150</v>
      </c>
      <c r="H35" s="70" t="s">
        <v>27</v>
      </c>
      <c r="I35" s="286">
        <v>0.03</v>
      </c>
      <c r="J35" s="287">
        <f>+I35*$E34*$F39</f>
        <v>0.89999999999999991</v>
      </c>
      <c r="K35" s="70" t="s">
        <v>28</v>
      </c>
      <c r="L35" s="288">
        <v>1</v>
      </c>
      <c r="M35" s="289">
        <f>L35/($F42*$E35)</f>
        <v>3.4176349965823645E-2</v>
      </c>
      <c r="N35" s="68" t="s">
        <v>27</v>
      </c>
      <c r="O35" s="280">
        <v>0.02</v>
      </c>
      <c r="P35" s="281">
        <f>+O35*$E34*$F39</f>
        <v>0.6</v>
      </c>
      <c r="Q35" s="68" t="s">
        <v>28</v>
      </c>
      <c r="R35" s="314">
        <v>0.5</v>
      </c>
      <c r="S35" s="315">
        <f>R35/($F42*$E35)</f>
        <v>1.7088174982911822E-2</v>
      </c>
      <c r="T35" s="69" t="s">
        <v>27</v>
      </c>
      <c r="U35" s="284">
        <v>0.03</v>
      </c>
      <c r="V35" s="285">
        <f>+U35*$E34*$F39</f>
        <v>0.89999999999999991</v>
      </c>
      <c r="W35" s="69" t="s">
        <v>28</v>
      </c>
      <c r="X35" s="282">
        <v>1</v>
      </c>
      <c r="Y35" s="283">
        <f>X35/($F42*$E35)</f>
        <v>3.4176349965823645E-2</v>
      </c>
      <c r="Z35" s="69" t="s">
        <v>27</v>
      </c>
      <c r="AA35" s="284">
        <v>0.03</v>
      </c>
      <c r="AB35" s="285">
        <f>+AA35*$E34*$F39</f>
        <v>0.89999999999999991</v>
      </c>
      <c r="AC35" s="69" t="s">
        <v>28</v>
      </c>
      <c r="AD35" s="282">
        <v>1</v>
      </c>
      <c r="AE35" s="283">
        <f>AD35/($F42*$E35)</f>
        <v>3.4176349965823645E-2</v>
      </c>
      <c r="AF35" s="69" t="s">
        <v>27</v>
      </c>
      <c r="AG35" s="284">
        <v>0.1</v>
      </c>
      <c r="AH35" s="285">
        <f>+AG35*$E34*$F39</f>
        <v>3</v>
      </c>
      <c r="AI35" s="69" t="s">
        <v>28</v>
      </c>
      <c r="AJ35" s="282">
        <v>3</v>
      </c>
      <c r="AK35" s="283">
        <f>AJ35/($F42*$E35)</f>
        <v>0.10252904989747094</v>
      </c>
      <c r="AL35" s="69" t="s">
        <v>27</v>
      </c>
      <c r="AM35" s="284">
        <v>0.03</v>
      </c>
      <c r="AN35" s="285">
        <f>+AM35*$E34*$F39</f>
        <v>0.89999999999999991</v>
      </c>
      <c r="AO35" s="69" t="s">
        <v>28</v>
      </c>
      <c r="AP35" s="282">
        <v>1</v>
      </c>
      <c r="AQ35" s="283">
        <f>AP35/($F42*$E35)</f>
        <v>3.4176349965823645E-2</v>
      </c>
      <c r="AR35" s="70" t="s">
        <v>27</v>
      </c>
      <c r="AS35" s="286">
        <v>0.09</v>
      </c>
      <c r="AT35" s="287">
        <f>+AS35*$E34*$F39</f>
        <v>2.6999999999999997</v>
      </c>
      <c r="AU35" s="70" t="s">
        <v>28</v>
      </c>
      <c r="AV35" s="288">
        <v>2</v>
      </c>
      <c r="AW35" s="289">
        <f>AV35/($F42*$E35)</f>
        <v>6.835269993164729E-2</v>
      </c>
      <c r="AX35" s="70" t="s">
        <v>27</v>
      </c>
      <c r="AY35" s="286">
        <v>0.34</v>
      </c>
      <c r="AZ35" s="287">
        <f>+AY35*$E34*$F39</f>
        <v>10.199999999999999</v>
      </c>
      <c r="BA35" s="70" t="s">
        <v>28</v>
      </c>
      <c r="BB35" s="288">
        <v>10</v>
      </c>
      <c r="BC35" s="289">
        <f>BB35/($F42*$E35)</f>
        <v>0.34176349965823649</v>
      </c>
      <c r="BD35" s="70" t="s">
        <v>27</v>
      </c>
      <c r="BE35" s="286">
        <v>0.02</v>
      </c>
      <c r="BF35" s="287">
        <f>+BE35*$E34*$F39</f>
        <v>0.6</v>
      </c>
      <c r="BG35" s="70" t="s">
        <v>28</v>
      </c>
      <c r="BH35" s="288">
        <v>0.5</v>
      </c>
      <c r="BI35" s="290">
        <f>BH35/($F42*$E35)</f>
        <v>1.7088174982911822E-2</v>
      </c>
    </row>
    <row r="36" spans="1:61" ht="17.25" customHeight="1">
      <c r="A36" s="291" t="s">
        <v>94</v>
      </c>
      <c r="B36" s="532" t="s">
        <v>30</v>
      </c>
      <c r="C36" s="454"/>
      <c r="D36" s="455"/>
      <c r="E36" s="533">
        <f>(I34+O34+U34+AA34+AG34+AM34+AS34+AY34+BE34+BE39+AY39+AS39+I39)/2</f>
        <v>0.53500000000000014</v>
      </c>
      <c r="F36" s="457"/>
      <c r="G36" s="534">
        <f>(E36+E37)</f>
        <v>1.0100000000000002</v>
      </c>
      <c r="H36" s="298" t="s">
        <v>31</v>
      </c>
      <c r="I36" s="299">
        <f>+J36/$G34</f>
        <v>2.5999999999999999E-2</v>
      </c>
      <c r="J36" s="74">
        <f>SUM(J34:J35)</f>
        <v>3.9</v>
      </c>
      <c r="K36" s="75" t="s">
        <v>31</v>
      </c>
      <c r="L36" s="300">
        <f>SUM(L34:L35)</f>
        <v>4</v>
      </c>
      <c r="M36" s="301">
        <f>L36/($F42*$G35)</f>
        <v>4.5568466621098203E-2</v>
      </c>
      <c r="N36" s="292" t="s">
        <v>31</v>
      </c>
      <c r="O36" s="293">
        <f>+P36/$G34</f>
        <v>8.0000000000000002E-3</v>
      </c>
      <c r="P36" s="71">
        <f>SUM(P34:P35)</f>
        <v>1.2</v>
      </c>
      <c r="Q36" s="85" t="s">
        <v>31</v>
      </c>
      <c r="R36" s="316">
        <f>SUM(R34:R35)</f>
        <v>1</v>
      </c>
      <c r="S36" s="295">
        <f>R36/($F42*$G35)</f>
        <v>1.1392116655274551E-2</v>
      </c>
      <c r="T36" s="296" t="s">
        <v>31</v>
      </c>
      <c r="U36" s="297">
        <f>+V36/$G34</f>
        <v>2.5999999999999999E-2</v>
      </c>
      <c r="V36" s="73">
        <f>SUM(V34:V35)</f>
        <v>3.9</v>
      </c>
      <c r="W36" s="72" t="s">
        <v>31</v>
      </c>
      <c r="X36" s="294">
        <f>SUM(X34:X35)</f>
        <v>4</v>
      </c>
      <c r="Y36" s="295">
        <f>X36/($F42*$G35)</f>
        <v>4.5568466621098203E-2</v>
      </c>
      <c r="Z36" s="296" t="s">
        <v>31</v>
      </c>
      <c r="AA36" s="297">
        <f>+AB36/$G34</f>
        <v>1.7999999999999999E-2</v>
      </c>
      <c r="AB36" s="73">
        <f>SUM(AB34:AB35)</f>
        <v>2.6999999999999997</v>
      </c>
      <c r="AC36" s="72" t="s">
        <v>31</v>
      </c>
      <c r="AD36" s="294">
        <f>SUM(AD34:AD35)</f>
        <v>3</v>
      </c>
      <c r="AE36" s="295">
        <f>AD36/($F42*$G35)</f>
        <v>3.4176349965823652E-2</v>
      </c>
      <c r="AF36" s="296" t="s">
        <v>31</v>
      </c>
      <c r="AG36" s="297">
        <f>+AH36/$G34</f>
        <v>0.06</v>
      </c>
      <c r="AH36" s="73">
        <f>SUM(AH34:AH35)</f>
        <v>9</v>
      </c>
      <c r="AI36" s="72" t="s">
        <v>31</v>
      </c>
      <c r="AJ36" s="294">
        <f>SUM(AJ34:AJ35)</f>
        <v>9</v>
      </c>
      <c r="AK36" s="295">
        <f>AJ36/($F42*$G35)</f>
        <v>0.10252904989747094</v>
      </c>
      <c r="AL36" s="296" t="s">
        <v>31</v>
      </c>
      <c r="AM36" s="297">
        <f>+AN36/$G34</f>
        <v>2.5999999999999999E-2</v>
      </c>
      <c r="AN36" s="73">
        <f>SUM(AN34:AN35)</f>
        <v>3.9</v>
      </c>
      <c r="AO36" s="72" t="s">
        <v>31</v>
      </c>
      <c r="AP36" s="294">
        <f>SUM(AP34:AP35)</f>
        <v>4</v>
      </c>
      <c r="AQ36" s="295">
        <f>AP36/($F42*$G35)</f>
        <v>4.5568466621098203E-2</v>
      </c>
      <c r="AR36" s="298" t="s">
        <v>31</v>
      </c>
      <c r="AS36" s="299">
        <f>+AT36/$G34</f>
        <v>0.05</v>
      </c>
      <c r="AT36" s="74">
        <f>SUM(AT34:AT35)</f>
        <v>7.5</v>
      </c>
      <c r="AU36" s="75" t="s">
        <v>31</v>
      </c>
      <c r="AV36" s="300">
        <f>SUM(AV34:AV35)</f>
        <v>6</v>
      </c>
      <c r="AW36" s="301">
        <f>AV36/($F42*$G35)</f>
        <v>6.8352699931647304E-2</v>
      </c>
      <c r="AX36" s="298" t="s">
        <v>31</v>
      </c>
      <c r="AY36" s="299">
        <f>+AZ36/$G34</f>
        <v>0.24</v>
      </c>
      <c r="AZ36" s="74">
        <f>SUM(AZ34:AZ35)</f>
        <v>36</v>
      </c>
      <c r="BA36" s="75" t="s">
        <v>31</v>
      </c>
      <c r="BB36" s="300">
        <f>SUM(BB34:BB35)</f>
        <v>35</v>
      </c>
      <c r="BC36" s="301">
        <f>BB36/($F42*$G35)</f>
        <v>0.39872408293460926</v>
      </c>
      <c r="BD36" s="298" t="s">
        <v>31</v>
      </c>
      <c r="BE36" s="299">
        <f>+BF36/$G34</f>
        <v>1.1999999999999999E-2</v>
      </c>
      <c r="BF36" s="74">
        <f>SUM(BF34:BF35)</f>
        <v>1.7999999999999998</v>
      </c>
      <c r="BG36" s="75" t="s">
        <v>31</v>
      </c>
      <c r="BH36" s="300">
        <f>SUM(BH34:BH35)</f>
        <v>1.5</v>
      </c>
      <c r="BI36" s="76">
        <f>BH36/($F42*$G35)</f>
        <v>1.7088174982911826E-2</v>
      </c>
    </row>
    <row r="37" spans="1:61" ht="17.25" customHeight="1">
      <c r="A37" s="291" t="s">
        <v>29</v>
      </c>
      <c r="B37" s="535" t="s">
        <v>34</v>
      </c>
      <c r="C37" s="461"/>
      <c r="D37" s="462"/>
      <c r="E37" s="536">
        <f>(I35+O35+U35+AA35+AG35+AM35+AS35+AY35+BE35+AS40+AY40+BE40+I40)/2</f>
        <v>0.47500000000000009</v>
      </c>
      <c r="F37" s="464"/>
      <c r="G37" s="459"/>
      <c r="H37" s="537" t="str">
        <f>VLOOKUP(H33,Plancha2!A:M,2,FALSE())</f>
        <v>Poisson</v>
      </c>
      <c r="I37" s="474"/>
      <c r="J37" s="474"/>
      <c r="K37" s="306"/>
      <c r="L37" s="529">
        <f>J36</f>
        <v>3.9</v>
      </c>
      <c r="M37" s="475"/>
      <c r="N37" s="304" t="str">
        <f>VLOOKUP(N33,Friteuse!A:M,2,FALSE())</f>
        <v>Falafel</v>
      </c>
      <c r="O37" s="305"/>
      <c r="P37" s="305"/>
      <c r="Q37" s="77"/>
      <c r="R37" s="529">
        <f>VLOOKUP(N33,Friteuse!A:M,3,FALSE())*P36</f>
        <v>1.2</v>
      </c>
      <c r="S37" s="475"/>
      <c r="T37" s="302" t="str">
        <f>VLOOKUP(T33,Wok!A:M,2,FALSE())</f>
        <v>Aiguillettes</v>
      </c>
      <c r="U37" s="303"/>
      <c r="V37" s="303"/>
      <c r="W37" s="77"/>
      <c r="X37" s="529">
        <f>VLOOKUP(T33,Wok!A:M,3,FALSE())*V36</f>
        <v>2.5350000000000001</v>
      </c>
      <c r="Y37" s="475"/>
      <c r="Z37" s="302" t="str">
        <f>VLOOKUP(Z33,Poele!A:M,2,FALSE())</f>
        <v>Lieu</v>
      </c>
      <c r="AA37" s="303"/>
      <c r="AB37" s="303"/>
      <c r="AC37" s="77"/>
      <c r="AD37" s="529">
        <f>VLOOKUP(Z33,Poele!A:M,3,FALSE())*AB36</f>
        <v>1.9709999999999999</v>
      </c>
      <c r="AE37" s="475"/>
      <c r="AF37" s="302" t="str">
        <f>VLOOKUP(AF33,Four!A:M,2,FALSE())</f>
        <v>Dinde sauté</v>
      </c>
      <c r="AG37" s="303"/>
      <c r="AH37" s="303"/>
      <c r="AI37" s="77"/>
      <c r="AJ37" s="529">
        <f>VLOOKUP(AF33,Four!A:M,3,FALSE())*AH36</f>
        <v>6.03</v>
      </c>
      <c r="AK37" s="475"/>
      <c r="AL37" s="302" t="str">
        <f>VLOOKUP(AL33,Four!A:M,2,FALSE())</f>
        <v>Saucisse fumée</v>
      </c>
      <c r="AM37" s="303"/>
      <c r="AN37" s="303"/>
      <c r="AO37" s="77"/>
      <c r="AP37" s="529">
        <f>VLOOKUP(AL33,Four!A:M,3,FALSE())*AN36</f>
        <v>1.56</v>
      </c>
      <c r="AQ37" s="475"/>
      <c r="AR37" s="538" t="s">
        <v>42</v>
      </c>
      <c r="AS37" s="461"/>
      <c r="AT37" s="461"/>
      <c r="AU37" s="306"/>
      <c r="AV37" s="529">
        <f>AT36</f>
        <v>7.5</v>
      </c>
      <c r="AW37" s="475"/>
      <c r="AX37" s="528" t="s">
        <v>156</v>
      </c>
      <c r="AY37" s="471"/>
      <c r="AZ37" s="471"/>
      <c r="BA37" s="78"/>
      <c r="BB37" s="529">
        <f>AZ36</f>
        <v>36</v>
      </c>
      <c r="BC37" s="475"/>
      <c r="BD37" s="528" t="s">
        <v>157</v>
      </c>
      <c r="BE37" s="471"/>
      <c r="BF37" s="471"/>
      <c r="BG37" s="78"/>
      <c r="BH37" s="529">
        <f>BF36</f>
        <v>1.7999999999999998</v>
      </c>
      <c r="BI37" s="503"/>
    </row>
    <row r="38" spans="1:61" ht="17.25" customHeight="1">
      <c r="A38" s="291" t="s">
        <v>45</v>
      </c>
      <c r="B38" s="539" t="s">
        <v>46</v>
      </c>
      <c r="C38" s="445"/>
      <c r="D38" s="517"/>
      <c r="E38" s="540">
        <f>(L36+R36+X36+AD36+AJ36+AP36+AV36+BB36+BH36+BH41+(BB41*BB38/1000)+L41+AV41)/(G35*F42)</f>
        <v>1</v>
      </c>
      <c r="F38" s="474"/>
      <c r="G38" s="475"/>
      <c r="H38" s="521" t="s">
        <v>223</v>
      </c>
      <c r="I38" s="431"/>
      <c r="J38" s="431"/>
      <c r="K38" s="431"/>
      <c r="L38" s="431"/>
      <c r="M38" s="432"/>
      <c r="N38" s="304">
        <f>VLOOKUP(N33,Friteuse!A:M,4,FALSE())</f>
        <v>0</v>
      </c>
      <c r="O38" s="79"/>
      <c r="P38" s="79"/>
      <c r="Q38" s="79"/>
      <c r="R38" s="530">
        <f>VLOOKUP(N33,Friteuse!A:M,5,FALSE())*P36</f>
        <v>0</v>
      </c>
      <c r="S38" s="475"/>
      <c r="T38" s="302" t="str">
        <f>VLOOKUP(T33,Wok!A:M,4,FALSE())</f>
        <v>Champignons</v>
      </c>
      <c r="U38" s="77"/>
      <c r="V38" s="77"/>
      <c r="W38" s="77"/>
      <c r="X38" s="530">
        <f>VLOOKUP(T33,Wok!A:M,5,FALSE())*V36</f>
        <v>0.39</v>
      </c>
      <c r="Y38" s="475"/>
      <c r="Z38" s="302" t="str">
        <f>VLOOKUP(Z33,Poele!A:M,4,FALSE())</f>
        <v>Oignon</v>
      </c>
      <c r="AA38" s="77"/>
      <c r="AB38" s="77"/>
      <c r="AC38" s="77"/>
      <c r="AD38" s="530">
        <f>VLOOKUP(Z33,Poele!A:M,5,FALSE())*AB36</f>
        <v>0.26999999999999996</v>
      </c>
      <c r="AE38" s="475"/>
      <c r="AF38" s="302" t="str">
        <f>VLOOKUP(AF33,Four!A:M,4,FALSE())</f>
        <v>Carottes</v>
      </c>
      <c r="AG38" s="77"/>
      <c r="AH38" s="77"/>
      <c r="AI38" s="77"/>
      <c r="AJ38" s="530">
        <f>VLOOKUP(AF33,Four!A:M,5,FALSE())*AH36</f>
        <v>0.54</v>
      </c>
      <c r="AK38" s="475"/>
      <c r="AL38" s="302" t="str">
        <f>VLOOKUP(AL33,Four!A:M,4,FALSE())</f>
        <v>Poivron R/V</v>
      </c>
      <c r="AM38" s="77"/>
      <c r="AN38" s="77"/>
      <c r="AO38" s="77"/>
      <c r="AP38" s="530">
        <f>VLOOKUP(AL33,Four!A:M,5,FALSE())*AN36</f>
        <v>0.78</v>
      </c>
      <c r="AQ38" s="475"/>
      <c r="AR38" s="481" t="s">
        <v>54</v>
      </c>
      <c r="AS38" s="431"/>
      <c r="AT38" s="431"/>
      <c r="AU38" s="431"/>
      <c r="AV38" s="431"/>
      <c r="AW38" s="432"/>
      <c r="AX38" s="481" t="s">
        <v>55</v>
      </c>
      <c r="AY38" s="431"/>
      <c r="AZ38" s="431"/>
      <c r="BA38" s="431"/>
      <c r="BB38" s="531">
        <v>60</v>
      </c>
      <c r="BC38" s="432"/>
      <c r="BD38" s="483" t="s">
        <v>269</v>
      </c>
      <c r="BE38" s="431"/>
      <c r="BF38" s="431"/>
      <c r="BG38" s="431"/>
      <c r="BH38" s="431"/>
      <c r="BI38" s="484"/>
    </row>
    <row r="39" spans="1:61" ht="17.25" customHeight="1">
      <c r="A39" s="291" t="s">
        <v>56</v>
      </c>
      <c r="B39" s="513" t="s">
        <v>158</v>
      </c>
      <c r="C39" s="445"/>
      <c r="D39" s="445"/>
      <c r="E39" s="445"/>
      <c r="F39" s="541">
        <v>0.6</v>
      </c>
      <c r="G39" s="446"/>
      <c r="H39" s="276" t="s">
        <v>23</v>
      </c>
      <c r="I39" s="62">
        <v>7.0000000000000007E-2</v>
      </c>
      <c r="J39" s="63">
        <f>+I39*$C34*$F$9</f>
        <v>4.2</v>
      </c>
      <c r="K39" s="276" t="s">
        <v>24</v>
      </c>
      <c r="L39" s="64">
        <v>4</v>
      </c>
      <c r="M39" s="277">
        <f>L39/($F42*$C35)</f>
        <v>6.835269993164729E-2</v>
      </c>
      <c r="N39" s="304">
        <f>VLOOKUP(N33,Friteuse!A:M,6,FALSE())</f>
        <v>0</v>
      </c>
      <c r="O39" s="79"/>
      <c r="P39" s="79"/>
      <c r="Q39" s="79"/>
      <c r="R39" s="530">
        <f>VLOOKUP(N33,Friteuse!A:M,7,FALSE())*P36</f>
        <v>0</v>
      </c>
      <c r="S39" s="475"/>
      <c r="T39" s="302" t="str">
        <f>VLOOKUP(T33,Wok!A:M,6,FALSE())</f>
        <v>Courgettes</v>
      </c>
      <c r="U39" s="77"/>
      <c r="V39" s="77"/>
      <c r="W39" s="77"/>
      <c r="X39" s="530">
        <f>VLOOKUP(T33,Wok!A:M,7,FALSE())*V36</f>
        <v>0.39</v>
      </c>
      <c r="Y39" s="475"/>
      <c r="Z39" s="302" t="str">
        <f>VLOOKUP(Z33,Poele!A:M,6,FALSE())</f>
        <v>Poivron vert</v>
      </c>
      <c r="AA39" s="77"/>
      <c r="AB39" s="77"/>
      <c r="AC39" s="77"/>
      <c r="AD39" s="530">
        <f>VLOOKUP(Z33,Poele!A:M,7,FALSE())*AB36</f>
        <v>0.26999999999999996</v>
      </c>
      <c r="AE39" s="475"/>
      <c r="AF39" s="302" t="str">
        <f>VLOOKUP(AF33,Four!A:M,6,FALSE())</f>
        <v>Poireaux</v>
      </c>
      <c r="AG39" s="77"/>
      <c r="AH39" s="77"/>
      <c r="AI39" s="77"/>
      <c r="AJ39" s="530">
        <f>VLOOKUP(AF33,Four!A:M,7,FALSE())*AH36</f>
        <v>0.54</v>
      </c>
      <c r="AK39" s="475"/>
      <c r="AL39" s="302" t="str">
        <f>VLOOKUP(AL33,Four!A:M,6,FALSE())</f>
        <v>Concassé</v>
      </c>
      <c r="AM39" s="77"/>
      <c r="AN39" s="77"/>
      <c r="AO39" s="77"/>
      <c r="AP39" s="530">
        <f>VLOOKUP(AL33,Four!A:M,7,FALSE())*AN36</f>
        <v>1.17</v>
      </c>
      <c r="AQ39" s="475"/>
      <c r="AR39" s="276" t="s">
        <v>23</v>
      </c>
      <c r="AS39" s="62">
        <v>0.08</v>
      </c>
      <c r="AT39" s="63">
        <f>+AS39*$C34*$F$9</f>
        <v>4.8</v>
      </c>
      <c r="AU39" s="276" t="s">
        <v>24</v>
      </c>
      <c r="AV39" s="64">
        <v>4</v>
      </c>
      <c r="AW39" s="277">
        <f>AV39/($F42*$C35)</f>
        <v>6.835269993164729E-2</v>
      </c>
      <c r="AX39" s="307" t="s">
        <v>23</v>
      </c>
      <c r="AY39" s="62">
        <v>0.03</v>
      </c>
      <c r="AZ39" s="95">
        <f>AY39*C34*F39/(BB38/1000)</f>
        <v>29.999999999999996</v>
      </c>
      <c r="BA39" s="276" t="s">
        <v>24</v>
      </c>
      <c r="BB39" s="96">
        <v>25</v>
      </c>
      <c r="BC39" s="313">
        <f>(BB39*BB38/1000)/($F42*$C35)</f>
        <v>2.5632262474367735E-2</v>
      </c>
      <c r="BD39" s="276" t="s">
        <v>23</v>
      </c>
      <c r="BE39" s="62">
        <v>7.0000000000000007E-2</v>
      </c>
      <c r="BF39" s="63">
        <f>+BE39*$C34*$F$9</f>
        <v>4.2</v>
      </c>
      <c r="BG39" s="276" t="s">
        <v>24</v>
      </c>
      <c r="BH39" s="64">
        <v>4</v>
      </c>
      <c r="BI39" s="65">
        <f>BH39/($F42*$C35)</f>
        <v>6.835269993164729E-2</v>
      </c>
    </row>
    <row r="40" spans="1:61" ht="17.25" customHeight="1">
      <c r="A40" s="291"/>
      <c r="B40" s="544" t="s">
        <v>178</v>
      </c>
      <c r="C40" s="445"/>
      <c r="D40" s="445"/>
      <c r="E40" s="446"/>
      <c r="F40" s="319">
        <f>(L34+R34+L39+X34+AD34+AJ34+AP34+AV34+AV39+BB34+BB39*(BB38/1000)+BH34+BH39)/C35</f>
        <v>0.61</v>
      </c>
      <c r="G40" s="320">
        <f>F40/(F40+F41)</f>
        <v>0.5324720670391061</v>
      </c>
      <c r="H40" s="70" t="s">
        <v>27</v>
      </c>
      <c r="I40" s="286">
        <v>7.0000000000000007E-2</v>
      </c>
      <c r="J40" s="287">
        <f>+I40*$E34*$F39</f>
        <v>2.1</v>
      </c>
      <c r="K40" s="70" t="s">
        <v>28</v>
      </c>
      <c r="L40" s="288">
        <v>2</v>
      </c>
      <c r="M40" s="289">
        <f>L40/($F42*$E35)</f>
        <v>6.835269993164729E-2</v>
      </c>
      <c r="N40" s="302">
        <f>VLOOKUP(N33,Friteuse!A:M,8,FALSE())</f>
        <v>0</v>
      </c>
      <c r="O40" s="79"/>
      <c r="P40" s="79"/>
      <c r="Q40" s="79"/>
      <c r="R40" s="530">
        <f>VLOOKUP(N33,Friteuse!A:M,9,FALSE())*P36</f>
        <v>0</v>
      </c>
      <c r="S40" s="475"/>
      <c r="T40" s="302" t="str">
        <f>VLOOKUP(T33,Wok!A:M,8,FALSE())</f>
        <v>Poivron</v>
      </c>
      <c r="U40" s="77"/>
      <c r="V40" s="77"/>
      <c r="W40" s="77"/>
      <c r="X40" s="530">
        <f>VLOOKUP(T33,Wok!A:M,9,FALSE())*V36</f>
        <v>0.39</v>
      </c>
      <c r="Y40" s="475"/>
      <c r="Z40" s="302" t="str">
        <f>VLOOKUP(Z33,Poele!A:M,8,FALSE())</f>
        <v>Vin blc</v>
      </c>
      <c r="AA40" s="77"/>
      <c r="AB40" s="77"/>
      <c r="AC40" s="77"/>
      <c r="AD40" s="530">
        <f>VLOOKUP(Z33,Poele!A:M,9,FALSE())*AB36</f>
        <v>0.189</v>
      </c>
      <c r="AE40" s="475"/>
      <c r="AF40" s="302" t="str">
        <f>VLOOKUP(AF33,Four!A:M,8,FALSE())</f>
        <v>Celeri</v>
      </c>
      <c r="AG40" s="77"/>
      <c r="AH40" s="77"/>
      <c r="AI40" s="77"/>
      <c r="AJ40" s="530">
        <f>VLOOKUP(AF33,Four!A:M,9,FALSE())*AH36</f>
        <v>0.54</v>
      </c>
      <c r="AK40" s="475"/>
      <c r="AL40" s="302" t="str">
        <f>VLOOKUP(AL33,Four!A:M,8,FALSE())</f>
        <v>Oignon</v>
      </c>
      <c r="AM40" s="77"/>
      <c r="AN40" s="77"/>
      <c r="AO40" s="77"/>
      <c r="AP40" s="530">
        <f>VLOOKUP(AL33,Four!A:M,9,FALSE())*AN36</f>
        <v>0.39</v>
      </c>
      <c r="AQ40" s="475"/>
      <c r="AR40" s="70" t="s">
        <v>27</v>
      </c>
      <c r="AS40" s="286">
        <v>0.09</v>
      </c>
      <c r="AT40" s="287">
        <f>+AS40*$E34*$F39</f>
        <v>2.6999999999999997</v>
      </c>
      <c r="AU40" s="70" t="s">
        <v>28</v>
      </c>
      <c r="AV40" s="288">
        <v>2</v>
      </c>
      <c r="AW40" s="289">
        <f>AV40/($F42*$E35)</f>
        <v>6.835269993164729E-2</v>
      </c>
      <c r="AX40" s="80" t="s">
        <v>27</v>
      </c>
      <c r="AY40" s="286">
        <v>0.03</v>
      </c>
      <c r="AZ40" s="321">
        <f>AY40*E34*F39/(BB38/1000)</f>
        <v>14.999999999999998</v>
      </c>
      <c r="BA40" s="70" t="s">
        <v>28</v>
      </c>
      <c r="BB40" s="322">
        <v>13</v>
      </c>
      <c r="BC40" s="315">
        <f>(BB40*BB38/1000)/($F42*$E35)</f>
        <v>2.6657552973342446E-2</v>
      </c>
      <c r="BD40" s="70" t="s">
        <v>27</v>
      </c>
      <c r="BE40" s="286">
        <v>7.0000000000000007E-2</v>
      </c>
      <c r="BF40" s="287">
        <f>+BE40*$E34*$F39</f>
        <v>2.1</v>
      </c>
      <c r="BG40" s="70" t="s">
        <v>28</v>
      </c>
      <c r="BH40" s="288">
        <v>2</v>
      </c>
      <c r="BI40" s="290">
        <f>BH40/($F42*$E35)</f>
        <v>6.835269993164729E-2</v>
      </c>
    </row>
    <row r="41" spans="1:61" ht="17.25" customHeight="1">
      <c r="A41" s="291"/>
      <c r="B41" s="447"/>
      <c r="C41" s="434"/>
      <c r="D41" s="434"/>
      <c r="E41" s="435"/>
      <c r="F41" s="323">
        <f>(L35+L40+R35+X35+AD35+AJ35+AP35+AV35+AV40+BB35+BB40*(BB38/1000)+BH40+BH35)/E35</f>
        <v>0.53560000000000008</v>
      </c>
      <c r="G41" s="324">
        <f>F41/(F40+F41)</f>
        <v>0.46752793296089395</v>
      </c>
      <c r="H41" s="298" t="s">
        <v>31</v>
      </c>
      <c r="I41" s="299">
        <f>+J41/$G34</f>
        <v>4.2000000000000003E-2</v>
      </c>
      <c r="J41" s="74">
        <f>SUM(J39:J40)</f>
        <v>6.3000000000000007</v>
      </c>
      <c r="K41" s="75" t="s">
        <v>31</v>
      </c>
      <c r="L41" s="300">
        <f>SUM(L39:L40)</f>
        <v>6</v>
      </c>
      <c r="M41" s="301">
        <f>L41/($F42*$G35)</f>
        <v>6.8352699931647304E-2</v>
      </c>
      <c r="N41" s="302">
        <f>VLOOKUP(N33,Friteuse!A:M,10,FALSE())</f>
        <v>0</v>
      </c>
      <c r="O41" s="78"/>
      <c r="P41" s="78"/>
      <c r="Q41" s="78"/>
      <c r="R41" s="530">
        <f>VLOOKUP(N33,Friteuse!A:M,11,FALSE())*P36</f>
        <v>0</v>
      </c>
      <c r="S41" s="475"/>
      <c r="T41" s="302" t="str">
        <f>VLOOKUP(T33,Wok!A:M,10,FALSE())</f>
        <v>Crème</v>
      </c>
      <c r="U41" s="81"/>
      <c r="V41" s="81"/>
      <c r="W41" s="81"/>
      <c r="X41" s="530">
        <f>VLOOKUP(T33,Wok!A:M,11,FALSE())*V36</f>
        <v>0.19500000000000001</v>
      </c>
      <c r="Y41" s="475"/>
      <c r="Z41" s="302" t="str">
        <f>VLOOKUP(Z33,Poele!A:M,10,FALSE())</f>
        <v>Sce napo</v>
      </c>
      <c r="AA41" s="81"/>
      <c r="AB41" s="81"/>
      <c r="AC41" s="81"/>
      <c r="AD41" s="530">
        <f>VLOOKUP(Z33,Poele!A:M,11,FALSE())*AB36</f>
        <v>0</v>
      </c>
      <c r="AE41" s="475"/>
      <c r="AF41" s="302" t="str">
        <f>VLOOKUP(AF33,Four!A:M,10,FALSE())</f>
        <v>Champignons</v>
      </c>
      <c r="AG41" s="81"/>
      <c r="AH41" s="81"/>
      <c r="AI41" s="81"/>
      <c r="AJ41" s="530">
        <f>VLOOKUP(AF33,Four!A:M,11,FALSE())*AH36</f>
        <v>0.80999999999999994</v>
      </c>
      <c r="AK41" s="475"/>
      <c r="AL41" s="302" t="str">
        <f>VLOOKUP(AL33,Four!A:M,10,FALSE())</f>
        <v>Ail / Paprika / Gingembre</v>
      </c>
      <c r="AM41" s="81"/>
      <c r="AN41" s="81"/>
      <c r="AO41" s="81"/>
      <c r="AP41" s="530">
        <f>VLOOKUP(AL33,Four!A:M,11,FALSE())*AN36</f>
        <v>0</v>
      </c>
      <c r="AQ41" s="475"/>
      <c r="AR41" s="298" t="s">
        <v>31</v>
      </c>
      <c r="AS41" s="299">
        <f>+AT41/$G34</f>
        <v>0.05</v>
      </c>
      <c r="AT41" s="74">
        <f>SUM(AT39:AT40)</f>
        <v>7.5</v>
      </c>
      <c r="AU41" s="75" t="s">
        <v>31</v>
      </c>
      <c r="AV41" s="300">
        <f>SUM(AV39:AV40)</f>
        <v>6</v>
      </c>
      <c r="AW41" s="301">
        <f>AV41/($F42*$G35)</f>
        <v>6.8352699931647304E-2</v>
      </c>
      <c r="AX41" s="308" t="s">
        <v>31</v>
      </c>
      <c r="AY41" s="299"/>
      <c r="AZ41" s="97">
        <f>SUM(AZ39:AZ40)</f>
        <v>44.999999999999993</v>
      </c>
      <c r="BA41" s="75" t="s">
        <v>31</v>
      </c>
      <c r="BB41" s="325">
        <f>SUM(BB39:BB40)</f>
        <v>38</v>
      </c>
      <c r="BC41" s="295">
        <f>(BB41*BB38/1000)/($F42*$G35)</f>
        <v>2.5974025974025972E-2</v>
      </c>
      <c r="BD41" s="298" t="s">
        <v>31</v>
      </c>
      <c r="BE41" s="299">
        <f>+BF41/$G34</f>
        <v>4.2000000000000003E-2</v>
      </c>
      <c r="BF41" s="74">
        <f>SUM(BF39:BF40)</f>
        <v>6.3000000000000007</v>
      </c>
      <c r="BG41" s="75" t="s">
        <v>31</v>
      </c>
      <c r="BH41" s="300">
        <f>SUM(BH39:BH40)</f>
        <v>6</v>
      </c>
      <c r="BI41" s="76">
        <f>BH41/($F42*$G35)</f>
        <v>6.8352699931647304E-2</v>
      </c>
    </row>
    <row r="42" spans="1:61" ht="17.25" customHeight="1">
      <c r="A42" s="291"/>
      <c r="B42" s="545" t="s">
        <v>159</v>
      </c>
      <c r="C42" s="431"/>
      <c r="D42" s="431"/>
      <c r="E42" s="432"/>
      <c r="F42" s="546">
        <f>(L36+L41+R36+X36+AD36+AJ36+AP36+AV36+AV41+BB41*BB38/1000+BB36+BH36+BH41)/G35</f>
        <v>0.58520000000000005</v>
      </c>
      <c r="G42" s="435"/>
      <c r="H42" s="302" t="str">
        <f>VLOOKUP(H38,Plancha2!A:M,2,FALSE())</f>
        <v>Ingr1</v>
      </c>
      <c r="I42" s="82"/>
      <c r="J42" s="78"/>
      <c r="K42" s="78"/>
      <c r="L42" s="529">
        <f>J41</f>
        <v>6.3000000000000007</v>
      </c>
      <c r="M42" s="475"/>
      <c r="N42" s="302">
        <f>VLOOKUP(N33,Friteuse!A:M,12,FALSE())</f>
        <v>0</v>
      </c>
      <c r="O42" s="306"/>
      <c r="P42" s="306"/>
      <c r="Q42" s="306"/>
      <c r="R42" s="542">
        <f>VLOOKUP(N33,Friteuse!A:M,13,FALSE())*P36</f>
        <v>0</v>
      </c>
      <c r="S42" s="435"/>
      <c r="T42" s="302">
        <f>VLOOKUP(T33,Wok!A:M,12,FALSE())</f>
        <v>0</v>
      </c>
      <c r="U42" s="309"/>
      <c r="V42" s="309"/>
      <c r="W42" s="309"/>
      <c r="X42" s="542">
        <f>VLOOKUP(T33,Wok!A:M,13,FALSE())*V36</f>
        <v>0</v>
      </c>
      <c r="Y42" s="435"/>
      <c r="Z42" s="302" t="str">
        <f>VLOOKUP(Z33,Poele!A:M,12,FALSE())</f>
        <v>Basilic</v>
      </c>
      <c r="AA42" s="309"/>
      <c r="AB42" s="309"/>
      <c r="AC42" s="309"/>
      <c r="AD42" s="542">
        <f>VLOOKUP(Z33,Poele!A:M,13,FALSE())*AB36</f>
        <v>0</v>
      </c>
      <c r="AE42" s="435"/>
      <c r="AF42" s="302" t="str">
        <f>VLOOKUP(AF33,Four!A:M,12,FALSE())</f>
        <v>Oignons</v>
      </c>
      <c r="AG42" s="309"/>
      <c r="AH42" s="309"/>
      <c r="AI42" s="309"/>
      <c r="AJ42" s="542">
        <f>VLOOKUP(AF33,Four!A:M,13,FALSE())*AH36</f>
        <v>0.54</v>
      </c>
      <c r="AK42" s="435"/>
      <c r="AL42" s="302">
        <f>VLOOKUP(AL33,Four!A:M,12,FALSE())</f>
        <v>0</v>
      </c>
      <c r="AM42" s="309"/>
      <c r="AN42" s="309"/>
      <c r="AO42" s="309"/>
      <c r="AP42" s="542">
        <f>VLOOKUP(AL33,Four!A:M,13,FALSE())*AN36</f>
        <v>0</v>
      </c>
      <c r="AQ42" s="435"/>
      <c r="AR42" s="310" t="s">
        <v>74</v>
      </c>
      <c r="AS42" s="82"/>
      <c r="AT42" s="78"/>
      <c r="AU42" s="78"/>
      <c r="AV42" s="529">
        <f>AT41</f>
        <v>7.5</v>
      </c>
      <c r="AW42" s="475"/>
      <c r="AX42" s="538" t="s">
        <v>75</v>
      </c>
      <c r="AY42" s="461"/>
      <c r="AZ42" s="461"/>
      <c r="BA42" s="311"/>
      <c r="BB42" s="529">
        <f>AZ41*(BB38/1000)</f>
        <v>2.6999999999999993</v>
      </c>
      <c r="BC42" s="475"/>
      <c r="BD42" s="543" t="s">
        <v>115</v>
      </c>
      <c r="BE42" s="461"/>
      <c r="BF42" s="461"/>
      <c r="BG42" s="311"/>
      <c r="BH42" s="529">
        <f>BF41</f>
        <v>6.3000000000000007</v>
      </c>
      <c r="BI42" s="503"/>
    </row>
    <row r="43" spans="1:61" ht="17.25" customHeight="1">
      <c r="A43" s="55">
        <f>A33+1</f>
        <v>45310</v>
      </c>
      <c r="B43" s="547" t="s">
        <v>8</v>
      </c>
      <c r="C43" s="432"/>
      <c r="D43" s="547" t="s">
        <v>9</v>
      </c>
      <c r="E43" s="432"/>
      <c r="F43" s="317" t="s">
        <v>10</v>
      </c>
      <c r="G43" s="318"/>
      <c r="H43" s="521" t="s">
        <v>223</v>
      </c>
      <c r="I43" s="431"/>
      <c r="J43" s="431"/>
      <c r="K43" s="431"/>
      <c r="L43" s="431"/>
      <c r="M43" s="432"/>
      <c r="N43" s="522" t="s">
        <v>197</v>
      </c>
      <c r="O43" s="431"/>
      <c r="P43" s="431"/>
      <c r="Q43" s="431"/>
      <c r="R43" s="431"/>
      <c r="S43" s="432"/>
      <c r="T43" s="523" t="s">
        <v>161</v>
      </c>
      <c r="U43" s="431"/>
      <c r="V43" s="431"/>
      <c r="W43" s="431"/>
      <c r="X43" s="431"/>
      <c r="Y43" s="432"/>
      <c r="Z43" s="523" t="s">
        <v>280</v>
      </c>
      <c r="AA43" s="431"/>
      <c r="AB43" s="431"/>
      <c r="AC43" s="431"/>
      <c r="AD43" s="431"/>
      <c r="AE43" s="432"/>
      <c r="AF43" s="519" t="s">
        <v>277</v>
      </c>
      <c r="AG43" s="431"/>
      <c r="AH43" s="431"/>
      <c r="AI43" s="431"/>
      <c r="AJ43" s="431"/>
      <c r="AK43" s="432"/>
      <c r="AL43" s="519" t="s">
        <v>196</v>
      </c>
      <c r="AM43" s="431"/>
      <c r="AN43" s="431"/>
      <c r="AO43" s="431"/>
      <c r="AP43" s="431"/>
      <c r="AQ43" s="432"/>
      <c r="AR43" s="481" t="s">
        <v>18</v>
      </c>
      <c r="AS43" s="431"/>
      <c r="AT43" s="431"/>
      <c r="AU43" s="431"/>
      <c r="AV43" s="431"/>
      <c r="AW43" s="432"/>
      <c r="AX43" s="482" t="s">
        <v>154</v>
      </c>
      <c r="AY43" s="434"/>
      <c r="AZ43" s="434"/>
      <c r="BA43" s="434"/>
      <c r="BB43" s="434"/>
      <c r="BC43" s="435"/>
      <c r="BD43" s="483" t="s">
        <v>155</v>
      </c>
      <c r="BE43" s="431"/>
      <c r="BF43" s="431"/>
      <c r="BG43" s="431"/>
      <c r="BH43" s="431"/>
      <c r="BI43" s="484"/>
    </row>
    <row r="44" spans="1:61" ht="17.25" customHeight="1">
      <c r="A44" s="269"/>
      <c r="B44" s="270" t="s">
        <v>22</v>
      </c>
      <c r="C44" s="271">
        <v>100</v>
      </c>
      <c r="D44" s="270" t="s">
        <v>22</v>
      </c>
      <c r="E44" s="272">
        <v>50</v>
      </c>
      <c r="F44" s="270" t="s">
        <v>22</v>
      </c>
      <c r="G44" s="56">
        <f t="shared" ref="G44:G45" si="4">+C44+E44</f>
        <v>150</v>
      </c>
      <c r="H44" s="276" t="s">
        <v>23</v>
      </c>
      <c r="I44" s="62">
        <v>0.05</v>
      </c>
      <c r="J44" s="63">
        <f>+I44*$C44*$F49</f>
        <v>3</v>
      </c>
      <c r="K44" s="276" t="s">
        <v>24</v>
      </c>
      <c r="L44" s="64">
        <v>3</v>
      </c>
      <c r="M44" s="277">
        <f>L44/($F52*$C45)</f>
        <v>5.1264524948735471E-2</v>
      </c>
      <c r="N44" s="273" t="s">
        <v>23</v>
      </c>
      <c r="O44" s="57">
        <v>0.01</v>
      </c>
      <c r="P44" s="58">
        <f>+O44*$C44*$F49</f>
        <v>0.6</v>
      </c>
      <c r="Q44" s="273" t="s">
        <v>24</v>
      </c>
      <c r="R44" s="84">
        <v>0.5</v>
      </c>
      <c r="S44" s="313">
        <f>R44/($F52*$C45)</f>
        <v>8.5440874914559112E-3</v>
      </c>
      <c r="T44" s="274" t="s">
        <v>23</v>
      </c>
      <c r="U44" s="60">
        <v>0.05</v>
      </c>
      <c r="V44" s="61">
        <f>+U44*$C44*$F49</f>
        <v>3</v>
      </c>
      <c r="W44" s="274" t="s">
        <v>24</v>
      </c>
      <c r="X44" s="59">
        <v>3</v>
      </c>
      <c r="Y44" s="275">
        <f>X44/($F52*$C45)</f>
        <v>5.1264524948735471E-2</v>
      </c>
      <c r="Z44" s="274" t="s">
        <v>23</v>
      </c>
      <c r="AA44" s="60">
        <v>0.03</v>
      </c>
      <c r="AB44" s="61">
        <f>+AA44*$C44*$F49</f>
        <v>1.7999999999999998</v>
      </c>
      <c r="AC44" s="274" t="s">
        <v>24</v>
      </c>
      <c r="AD44" s="59">
        <v>2</v>
      </c>
      <c r="AE44" s="275">
        <f>AD44/($F52*$C45)</f>
        <v>3.4176349965823645E-2</v>
      </c>
      <c r="AF44" s="274" t="s">
        <v>23</v>
      </c>
      <c r="AG44" s="60">
        <v>0.1</v>
      </c>
      <c r="AH44" s="61">
        <f>+AG44*$C44*$F49</f>
        <v>6</v>
      </c>
      <c r="AI44" s="274" t="s">
        <v>24</v>
      </c>
      <c r="AJ44" s="59">
        <v>6</v>
      </c>
      <c r="AK44" s="275">
        <f>AJ44/($F52*$C45)</f>
        <v>0.10252904989747094</v>
      </c>
      <c r="AL44" s="274" t="s">
        <v>23</v>
      </c>
      <c r="AM44" s="60">
        <v>0.05</v>
      </c>
      <c r="AN44" s="61">
        <f>+AM44*$C44*$F49</f>
        <v>3</v>
      </c>
      <c r="AO44" s="274" t="s">
        <v>24</v>
      </c>
      <c r="AP44" s="59">
        <v>3</v>
      </c>
      <c r="AQ44" s="275">
        <f>AP44/($F52*$C45)</f>
        <v>5.1264524948735471E-2</v>
      </c>
      <c r="AR44" s="276" t="s">
        <v>23</v>
      </c>
      <c r="AS44" s="62">
        <v>0.08</v>
      </c>
      <c r="AT44" s="63">
        <f>+AS44*$C44*$F49</f>
        <v>4.8</v>
      </c>
      <c r="AU44" s="276" t="s">
        <v>24</v>
      </c>
      <c r="AV44" s="64">
        <v>4</v>
      </c>
      <c r="AW44" s="277">
        <f>AV44/($F52*$C45)</f>
        <v>6.835269993164729E-2</v>
      </c>
      <c r="AX44" s="276" t="s">
        <v>23</v>
      </c>
      <c r="AY44" s="62">
        <v>0.43</v>
      </c>
      <c r="AZ44" s="63">
        <f>+AY44*$C44*$F49</f>
        <v>25.8</v>
      </c>
      <c r="BA44" s="276" t="s">
        <v>24</v>
      </c>
      <c r="BB44" s="64">
        <v>25</v>
      </c>
      <c r="BC44" s="277">
        <f>BB44/($F52*$C45)</f>
        <v>0.42720437457279559</v>
      </c>
      <c r="BD44" s="276" t="s">
        <v>23</v>
      </c>
      <c r="BE44" s="62">
        <v>0.02</v>
      </c>
      <c r="BF44" s="63">
        <f>+BE44*$C44*$F49</f>
        <v>1.2</v>
      </c>
      <c r="BG44" s="276" t="s">
        <v>24</v>
      </c>
      <c r="BH44" s="64">
        <v>1</v>
      </c>
      <c r="BI44" s="65">
        <f>BH44/($F52*$C45)</f>
        <v>1.7088174982911822E-2</v>
      </c>
    </row>
    <row r="45" spans="1:61" ht="17.25" customHeight="1">
      <c r="A45" s="278" t="s">
        <v>123</v>
      </c>
      <c r="B45" s="266" t="s">
        <v>26</v>
      </c>
      <c r="C45" s="66">
        <v>100</v>
      </c>
      <c r="D45" s="266" t="s">
        <v>26</v>
      </c>
      <c r="E45" s="67">
        <v>50</v>
      </c>
      <c r="F45" s="266" t="s">
        <v>26</v>
      </c>
      <c r="G45" s="279">
        <f t="shared" si="4"/>
        <v>150</v>
      </c>
      <c r="H45" s="70" t="s">
        <v>27</v>
      </c>
      <c r="I45" s="286">
        <v>0.03</v>
      </c>
      <c r="J45" s="287">
        <f>+I45*$E44*$F49</f>
        <v>0.89999999999999991</v>
      </c>
      <c r="K45" s="70" t="s">
        <v>28</v>
      </c>
      <c r="L45" s="288">
        <v>1</v>
      </c>
      <c r="M45" s="289">
        <f>L45/($F52*$E45)</f>
        <v>3.4176349965823645E-2</v>
      </c>
      <c r="N45" s="68" t="s">
        <v>27</v>
      </c>
      <c r="O45" s="280">
        <v>0.02</v>
      </c>
      <c r="P45" s="281">
        <f>+O45*$E44*$F49</f>
        <v>0.6</v>
      </c>
      <c r="Q45" s="68" t="s">
        <v>28</v>
      </c>
      <c r="R45" s="314">
        <v>0.5</v>
      </c>
      <c r="S45" s="315">
        <f>R45/($F52*$E45)</f>
        <v>1.7088174982911822E-2</v>
      </c>
      <c r="T45" s="69" t="s">
        <v>27</v>
      </c>
      <c r="U45" s="284">
        <v>0.03</v>
      </c>
      <c r="V45" s="285">
        <f>+U45*$E44*$F49</f>
        <v>0.89999999999999991</v>
      </c>
      <c r="W45" s="69" t="s">
        <v>28</v>
      </c>
      <c r="X45" s="282">
        <v>1</v>
      </c>
      <c r="Y45" s="283">
        <f>X45/($F52*$E45)</f>
        <v>3.4176349965823645E-2</v>
      </c>
      <c r="Z45" s="69" t="s">
        <v>27</v>
      </c>
      <c r="AA45" s="284">
        <v>0.03</v>
      </c>
      <c r="AB45" s="285">
        <f>+AA45*$E44*$F49</f>
        <v>0.89999999999999991</v>
      </c>
      <c r="AC45" s="69" t="s">
        <v>28</v>
      </c>
      <c r="AD45" s="282">
        <v>1</v>
      </c>
      <c r="AE45" s="283">
        <f>AD45/($F52*$E45)</f>
        <v>3.4176349965823645E-2</v>
      </c>
      <c r="AF45" s="69" t="s">
        <v>27</v>
      </c>
      <c r="AG45" s="284">
        <v>0.1</v>
      </c>
      <c r="AH45" s="285">
        <f>+AG45*$E44*$F49</f>
        <v>3</v>
      </c>
      <c r="AI45" s="69" t="s">
        <v>28</v>
      </c>
      <c r="AJ45" s="282">
        <v>3</v>
      </c>
      <c r="AK45" s="283">
        <f>AJ45/($F52*$E45)</f>
        <v>0.10252904989747094</v>
      </c>
      <c r="AL45" s="69" t="s">
        <v>27</v>
      </c>
      <c r="AM45" s="284">
        <v>0.03</v>
      </c>
      <c r="AN45" s="285">
        <f>+AM45*$E44*$F49</f>
        <v>0.89999999999999991</v>
      </c>
      <c r="AO45" s="69" t="s">
        <v>28</v>
      </c>
      <c r="AP45" s="282">
        <v>1</v>
      </c>
      <c r="AQ45" s="283">
        <f>AP45/($F52*$E45)</f>
        <v>3.4176349965823645E-2</v>
      </c>
      <c r="AR45" s="70" t="s">
        <v>27</v>
      </c>
      <c r="AS45" s="286">
        <v>0.09</v>
      </c>
      <c r="AT45" s="287">
        <f>+AS45*$E44*$F49</f>
        <v>2.6999999999999997</v>
      </c>
      <c r="AU45" s="70" t="s">
        <v>28</v>
      </c>
      <c r="AV45" s="288">
        <v>2</v>
      </c>
      <c r="AW45" s="289">
        <f>AV45/($F52*$E45)</f>
        <v>6.835269993164729E-2</v>
      </c>
      <c r="AX45" s="70" t="s">
        <v>27</v>
      </c>
      <c r="AY45" s="286">
        <v>0.34</v>
      </c>
      <c r="AZ45" s="287">
        <f>+AY45*$E44*$F49</f>
        <v>10.199999999999999</v>
      </c>
      <c r="BA45" s="70" t="s">
        <v>28</v>
      </c>
      <c r="BB45" s="288">
        <v>10</v>
      </c>
      <c r="BC45" s="289">
        <f>BB45/($F52*$E45)</f>
        <v>0.34176349965823649</v>
      </c>
      <c r="BD45" s="70" t="s">
        <v>27</v>
      </c>
      <c r="BE45" s="286">
        <v>0.02</v>
      </c>
      <c r="BF45" s="287">
        <f>+BE45*$E44*$F49</f>
        <v>0.6</v>
      </c>
      <c r="BG45" s="70" t="s">
        <v>28</v>
      </c>
      <c r="BH45" s="288">
        <v>0.5</v>
      </c>
      <c r="BI45" s="290">
        <f>BH45/($F52*$E45)</f>
        <v>1.7088174982911822E-2</v>
      </c>
    </row>
    <row r="46" spans="1:61" ht="17.25" customHeight="1">
      <c r="A46" s="291" t="s">
        <v>94</v>
      </c>
      <c r="B46" s="532" t="s">
        <v>30</v>
      </c>
      <c r="C46" s="454"/>
      <c r="D46" s="455"/>
      <c r="E46" s="533">
        <f>(I44+O44+U44+AA44+AG44+AM44+AS44+AY44+BE44+BE49+AY49+AS49+I49)/2</f>
        <v>0.53500000000000014</v>
      </c>
      <c r="F46" s="457"/>
      <c r="G46" s="534">
        <f>(E46+E47)</f>
        <v>1.0100000000000002</v>
      </c>
      <c r="H46" s="298" t="s">
        <v>31</v>
      </c>
      <c r="I46" s="299">
        <f>+J46/$G44</f>
        <v>2.5999999999999999E-2</v>
      </c>
      <c r="J46" s="74">
        <f>SUM(J44:J45)</f>
        <v>3.9</v>
      </c>
      <c r="K46" s="75" t="s">
        <v>31</v>
      </c>
      <c r="L46" s="300">
        <f>SUM(L44:L45)</f>
        <v>4</v>
      </c>
      <c r="M46" s="301">
        <f>L46/($F52*$G45)</f>
        <v>4.5568466621098203E-2</v>
      </c>
      <c r="N46" s="292" t="s">
        <v>31</v>
      </c>
      <c r="O46" s="293">
        <f>+P46/$G44</f>
        <v>8.0000000000000002E-3</v>
      </c>
      <c r="P46" s="71">
        <f>SUM(P44:P45)</f>
        <v>1.2</v>
      </c>
      <c r="Q46" s="85" t="s">
        <v>31</v>
      </c>
      <c r="R46" s="316">
        <f>SUM(R44:R45)</f>
        <v>1</v>
      </c>
      <c r="S46" s="295">
        <f>R46/($F52*$G45)</f>
        <v>1.1392116655274551E-2</v>
      </c>
      <c r="T46" s="296" t="s">
        <v>31</v>
      </c>
      <c r="U46" s="297">
        <f>+V46/$G44</f>
        <v>2.5999999999999999E-2</v>
      </c>
      <c r="V46" s="73">
        <f>SUM(V44:V45)</f>
        <v>3.9</v>
      </c>
      <c r="W46" s="72" t="s">
        <v>31</v>
      </c>
      <c r="X46" s="294">
        <f>SUM(X44:X45)</f>
        <v>4</v>
      </c>
      <c r="Y46" s="295">
        <f>X46/($F52*$G45)</f>
        <v>4.5568466621098203E-2</v>
      </c>
      <c r="Z46" s="296" t="s">
        <v>31</v>
      </c>
      <c r="AA46" s="297">
        <f>+AB46/$G44</f>
        <v>1.7999999999999999E-2</v>
      </c>
      <c r="AB46" s="73">
        <f>SUM(AB44:AB45)</f>
        <v>2.6999999999999997</v>
      </c>
      <c r="AC46" s="72" t="s">
        <v>31</v>
      </c>
      <c r="AD46" s="294">
        <f>SUM(AD44:AD45)</f>
        <v>3</v>
      </c>
      <c r="AE46" s="295">
        <f>AD46/($F52*$G45)</f>
        <v>3.4176349965823652E-2</v>
      </c>
      <c r="AF46" s="296" t="s">
        <v>31</v>
      </c>
      <c r="AG46" s="297">
        <f>+AH46/$G44</f>
        <v>0.06</v>
      </c>
      <c r="AH46" s="73">
        <f>SUM(AH44:AH45)</f>
        <v>9</v>
      </c>
      <c r="AI46" s="72" t="s">
        <v>31</v>
      </c>
      <c r="AJ46" s="294">
        <f>SUM(AJ44:AJ45)</f>
        <v>9</v>
      </c>
      <c r="AK46" s="295">
        <f>AJ46/($F52*$G45)</f>
        <v>0.10252904989747094</v>
      </c>
      <c r="AL46" s="296" t="s">
        <v>31</v>
      </c>
      <c r="AM46" s="297">
        <f>+AN46/$G44</f>
        <v>2.5999999999999999E-2</v>
      </c>
      <c r="AN46" s="73">
        <f>SUM(AN44:AN45)</f>
        <v>3.9</v>
      </c>
      <c r="AO46" s="72" t="s">
        <v>31</v>
      </c>
      <c r="AP46" s="294">
        <f>SUM(AP44:AP45)</f>
        <v>4</v>
      </c>
      <c r="AQ46" s="295">
        <f>AP46/($F52*$G45)</f>
        <v>4.5568466621098203E-2</v>
      </c>
      <c r="AR46" s="298" t="s">
        <v>31</v>
      </c>
      <c r="AS46" s="299">
        <f>+AT46/$G44</f>
        <v>0.05</v>
      </c>
      <c r="AT46" s="74">
        <f>SUM(AT44:AT45)</f>
        <v>7.5</v>
      </c>
      <c r="AU46" s="75" t="s">
        <v>31</v>
      </c>
      <c r="AV46" s="300">
        <f>SUM(AV44:AV45)</f>
        <v>6</v>
      </c>
      <c r="AW46" s="301">
        <f>AV46/($F52*$G45)</f>
        <v>6.8352699931647304E-2</v>
      </c>
      <c r="AX46" s="298" t="s">
        <v>31</v>
      </c>
      <c r="AY46" s="299">
        <f>+AZ46/$G44</f>
        <v>0.24</v>
      </c>
      <c r="AZ46" s="74">
        <f>SUM(AZ44:AZ45)</f>
        <v>36</v>
      </c>
      <c r="BA46" s="75" t="s">
        <v>31</v>
      </c>
      <c r="BB46" s="300">
        <f>SUM(BB44:BB45)</f>
        <v>35</v>
      </c>
      <c r="BC46" s="301">
        <f>BB46/($F52*$G45)</f>
        <v>0.39872408293460926</v>
      </c>
      <c r="BD46" s="298" t="s">
        <v>31</v>
      </c>
      <c r="BE46" s="299">
        <f>+BF46/$G44</f>
        <v>1.1999999999999999E-2</v>
      </c>
      <c r="BF46" s="74">
        <f>SUM(BF44:BF45)</f>
        <v>1.7999999999999998</v>
      </c>
      <c r="BG46" s="75" t="s">
        <v>31</v>
      </c>
      <c r="BH46" s="300">
        <f>SUM(BH44:BH45)</f>
        <v>1.5</v>
      </c>
      <c r="BI46" s="76">
        <f>BH46/($F52*$G45)</f>
        <v>1.7088174982911826E-2</v>
      </c>
    </row>
    <row r="47" spans="1:61" ht="17.25" customHeight="1">
      <c r="A47" s="86" t="s">
        <v>33</v>
      </c>
      <c r="B47" s="535" t="s">
        <v>34</v>
      </c>
      <c r="C47" s="461"/>
      <c r="D47" s="462"/>
      <c r="E47" s="536">
        <f>(I45+O45+U45+AA45+AG45+AM45+AS45+AY45+BE45+AS50+AY50+BE50+I50)/2</f>
        <v>0.47500000000000009</v>
      </c>
      <c r="F47" s="464"/>
      <c r="G47" s="459"/>
      <c r="H47" s="537" t="str">
        <f>VLOOKUP(H43,Plancha2!A:M,2,FALSE())</f>
        <v>Ingr1</v>
      </c>
      <c r="I47" s="474"/>
      <c r="J47" s="474"/>
      <c r="K47" s="306"/>
      <c r="L47" s="529">
        <f>J46</f>
        <v>3.9</v>
      </c>
      <c r="M47" s="475"/>
      <c r="N47" s="304" t="str">
        <f>VLOOKUP(N43,Friteuse!A:M,2,FALSE())</f>
        <v>Aiguilette</v>
      </c>
      <c r="O47" s="305"/>
      <c r="P47" s="305"/>
      <c r="Q47" s="77"/>
      <c r="R47" s="529">
        <f>VLOOKUP(N43,Friteuse!A:M,3,FALSE())*P46</f>
        <v>1.032</v>
      </c>
      <c r="S47" s="475"/>
      <c r="T47" s="302" t="str">
        <f>VLOOKUP(T43,Wok!A:M,2,FALSE())</f>
        <v>Poisson blanc</v>
      </c>
      <c r="U47" s="303"/>
      <c r="V47" s="303"/>
      <c r="W47" s="77"/>
      <c r="X47" s="529">
        <f>VLOOKUP(T43,Wok!A:M,3,FALSE())*V46</f>
        <v>1.56</v>
      </c>
      <c r="Y47" s="475"/>
      <c r="Z47" s="302" t="str">
        <f>VLOOKUP(Z43,Poele!A:M,2,FALSE())</f>
        <v>Courgette</v>
      </c>
      <c r="AA47" s="303"/>
      <c r="AB47" s="303"/>
      <c r="AC47" s="77"/>
      <c r="AD47" s="529">
        <f>VLOOKUP(Z43,Poele!A:M,3,FALSE())*AB46</f>
        <v>1.2149999999999999</v>
      </c>
      <c r="AE47" s="475"/>
      <c r="AF47" s="302" t="str">
        <f>VLOOKUP(AF43,Four!A:M,2,FALSE())</f>
        <v>Dinde sauté</v>
      </c>
      <c r="AG47" s="303"/>
      <c r="AH47" s="303"/>
      <c r="AI47" s="77"/>
      <c r="AJ47" s="529">
        <f>VLOOKUP(AF43,Four!A:M,3,FALSE())*AH46</f>
        <v>6.03</v>
      </c>
      <c r="AK47" s="475"/>
      <c r="AL47" s="302" t="str">
        <f>VLOOKUP(AL43,Four!A:M,2,FALSE())</f>
        <v>Saucisse fumée</v>
      </c>
      <c r="AM47" s="303"/>
      <c r="AN47" s="303"/>
      <c r="AO47" s="77"/>
      <c r="AP47" s="529">
        <f>VLOOKUP(AL43,Four!A:M,3,FALSE())*AN46</f>
        <v>1.56</v>
      </c>
      <c r="AQ47" s="475"/>
      <c r="AR47" s="538" t="s">
        <v>42</v>
      </c>
      <c r="AS47" s="461"/>
      <c r="AT47" s="461"/>
      <c r="AU47" s="306"/>
      <c r="AV47" s="529">
        <f>AT46</f>
        <v>7.5</v>
      </c>
      <c r="AW47" s="475"/>
      <c r="AX47" s="528" t="s">
        <v>156</v>
      </c>
      <c r="AY47" s="471"/>
      <c r="AZ47" s="471"/>
      <c r="BA47" s="78"/>
      <c r="BB47" s="529">
        <f>AZ46</f>
        <v>36</v>
      </c>
      <c r="BC47" s="475"/>
      <c r="BD47" s="528" t="s">
        <v>157</v>
      </c>
      <c r="BE47" s="471"/>
      <c r="BF47" s="471"/>
      <c r="BG47" s="78"/>
      <c r="BH47" s="529">
        <f>BF46</f>
        <v>1.7999999999999998</v>
      </c>
      <c r="BI47" s="503"/>
    </row>
    <row r="48" spans="1:61" ht="17.25" customHeight="1">
      <c r="A48" s="86" t="s">
        <v>45</v>
      </c>
      <c r="B48" s="539" t="s">
        <v>46</v>
      </c>
      <c r="C48" s="445"/>
      <c r="D48" s="517"/>
      <c r="E48" s="540">
        <f>(L46+R46+X46+AD46+AJ46+AP46+AV46+BB46+BH46+BH51+(BB51*BB48/1000)+L51+AV51)/(G45*F52)</f>
        <v>1</v>
      </c>
      <c r="F48" s="474"/>
      <c r="G48" s="475"/>
      <c r="H48" s="521" t="s">
        <v>160</v>
      </c>
      <c r="I48" s="431"/>
      <c r="J48" s="431"/>
      <c r="K48" s="431"/>
      <c r="L48" s="431"/>
      <c r="M48" s="432"/>
      <c r="N48" s="304" t="str">
        <f>VLOOKUP(N43,Friteuse!A:M,4,FALSE())</f>
        <v>Creme</v>
      </c>
      <c r="O48" s="79"/>
      <c r="P48" s="79"/>
      <c r="Q48" s="79"/>
      <c r="R48" s="530">
        <f>VLOOKUP(N43,Friteuse!A:M,5,FALSE())*P46</f>
        <v>1.2E-2</v>
      </c>
      <c r="S48" s="475"/>
      <c r="T48" s="302" t="str">
        <f>VLOOKUP(T43,Wok!A:M,4,FALSE())</f>
        <v>Courgette / Carotte</v>
      </c>
      <c r="U48" s="77"/>
      <c r="V48" s="77"/>
      <c r="W48" s="77"/>
      <c r="X48" s="530">
        <f>VLOOKUP(T43,Wok!A:M,5,FALSE())*V46</f>
        <v>1.56</v>
      </c>
      <c r="Y48" s="475"/>
      <c r="Z48" s="302" t="str">
        <f>VLOOKUP(Z43,Poele!A:M,4,FALSE())</f>
        <v>Carotte</v>
      </c>
      <c r="AA48" s="77"/>
      <c r="AB48" s="77"/>
      <c r="AC48" s="77"/>
      <c r="AD48" s="530">
        <f>VLOOKUP(Z43,Poele!A:M,5,FALSE())*AB46</f>
        <v>1.2149999999999999</v>
      </c>
      <c r="AE48" s="475"/>
      <c r="AF48" s="302" t="str">
        <f>VLOOKUP(AF43,Four!A:M,4,FALSE())</f>
        <v>Carottes</v>
      </c>
      <c r="AG48" s="77"/>
      <c r="AH48" s="77"/>
      <c r="AI48" s="77"/>
      <c r="AJ48" s="530">
        <f>VLOOKUP(AF43,Four!A:M,5,FALSE())*AH46</f>
        <v>0.54</v>
      </c>
      <c r="AK48" s="475"/>
      <c r="AL48" s="302" t="str">
        <f>VLOOKUP(AL43,Four!A:M,4,FALSE())</f>
        <v>Poivron R/V</v>
      </c>
      <c r="AM48" s="77"/>
      <c r="AN48" s="77"/>
      <c r="AO48" s="77"/>
      <c r="AP48" s="530">
        <f>VLOOKUP(AL43,Four!A:M,5,FALSE())*AN46</f>
        <v>0.78</v>
      </c>
      <c r="AQ48" s="475"/>
      <c r="AR48" s="481" t="s">
        <v>54</v>
      </c>
      <c r="AS48" s="431"/>
      <c r="AT48" s="431"/>
      <c r="AU48" s="431"/>
      <c r="AV48" s="431"/>
      <c r="AW48" s="432"/>
      <c r="AX48" s="481" t="s">
        <v>55</v>
      </c>
      <c r="AY48" s="431"/>
      <c r="AZ48" s="431"/>
      <c r="BA48" s="431"/>
      <c r="BB48" s="531">
        <v>60</v>
      </c>
      <c r="BC48" s="432"/>
      <c r="BD48" s="483" t="s">
        <v>269</v>
      </c>
      <c r="BE48" s="431"/>
      <c r="BF48" s="431"/>
      <c r="BG48" s="431"/>
      <c r="BH48" s="431"/>
      <c r="BI48" s="484"/>
    </row>
    <row r="49" spans="1:61" ht="17.25" customHeight="1">
      <c r="A49" s="86" t="s">
        <v>81</v>
      </c>
      <c r="B49" s="513" t="s">
        <v>158</v>
      </c>
      <c r="C49" s="445"/>
      <c r="D49" s="445"/>
      <c r="E49" s="445"/>
      <c r="F49" s="541">
        <v>0.6</v>
      </c>
      <c r="G49" s="446"/>
      <c r="H49" s="276" t="s">
        <v>23</v>
      </c>
      <c r="I49" s="62">
        <v>7.0000000000000007E-2</v>
      </c>
      <c r="J49" s="63">
        <f>+I49*$C44*$F$9</f>
        <v>4.2</v>
      </c>
      <c r="K49" s="276" t="s">
        <v>24</v>
      </c>
      <c r="L49" s="64">
        <v>4</v>
      </c>
      <c r="M49" s="277">
        <f>L49/($F52*$C45)</f>
        <v>6.835269993164729E-2</v>
      </c>
      <c r="N49" s="304" t="str">
        <f>VLOOKUP(N43,Friteuse!A:M,6,FALSE())</f>
        <v>Tandoori</v>
      </c>
      <c r="O49" s="79"/>
      <c r="P49" s="79"/>
      <c r="Q49" s="79"/>
      <c r="R49" s="530">
        <f>VLOOKUP(N43,Friteuse!A:M,7,FALSE())*P46</f>
        <v>1.7999999999999999E-2</v>
      </c>
      <c r="S49" s="475"/>
      <c r="T49" s="302" t="str">
        <f>VLOOKUP(T43,Wok!A:M,6,FALSE())</f>
        <v>Huile</v>
      </c>
      <c r="U49" s="77"/>
      <c r="V49" s="77"/>
      <c r="W49" s="77"/>
      <c r="X49" s="530">
        <f>VLOOKUP(T43,Wok!A:M,7,FALSE())*V46</f>
        <v>0.156</v>
      </c>
      <c r="Y49" s="475"/>
      <c r="Z49" s="302" t="str">
        <f>VLOOKUP(Z43,Poele!A:M,6,FALSE())</f>
        <v>Sel</v>
      </c>
      <c r="AA49" s="77"/>
      <c r="AB49" s="77"/>
      <c r="AC49" s="77"/>
      <c r="AD49" s="530">
        <f>VLOOKUP(Z43,Poele!A:M,7,FALSE())*AB46</f>
        <v>2.6999999999999996E-2</v>
      </c>
      <c r="AE49" s="475"/>
      <c r="AF49" s="302" t="str">
        <f>VLOOKUP(AF43,Four!A:M,6,FALSE())</f>
        <v>Poireaux</v>
      </c>
      <c r="AG49" s="77"/>
      <c r="AH49" s="77"/>
      <c r="AI49" s="77"/>
      <c r="AJ49" s="530">
        <f>VLOOKUP(AF43,Four!A:M,7,FALSE())*AH46</f>
        <v>0.54</v>
      </c>
      <c r="AK49" s="475"/>
      <c r="AL49" s="302" t="str">
        <f>VLOOKUP(AL43,Four!A:M,6,FALSE())</f>
        <v>Concassé</v>
      </c>
      <c r="AM49" s="77"/>
      <c r="AN49" s="77"/>
      <c r="AO49" s="77"/>
      <c r="AP49" s="530">
        <f>VLOOKUP(AL43,Four!A:M,7,FALSE())*AN46</f>
        <v>1.17</v>
      </c>
      <c r="AQ49" s="475"/>
      <c r="AR49" s="276" t="s">
        <v>23</v>
      </c>
      <c r="AS49" s="62">
        <v>0.08</v>
      </c>
      <c r="AT49" s="63">
        <f>+AS49*$C44*$F$9</f>
        <v>4.8</v>
      </c>
      <c r="AU49" s="276" t="s">
        <v>24</v>
      </c>
      <c r="AV49" s="64">
        <v>4</v>
      </c>
      <c r="AW49" s="277">
        <f>AV49/($F52*$C45)</f>
        <v>6.835269993164729E-2</v>
      </c>
      <c r="AX49" s="307" t="s">
        <v>23</v>
      </c>
      <c r="AY49" s="62">
        <v>0.03</v>
      </c>
      <c r="AZ49" s="95">
        <f>AY49*C44*F49/(BB48/1000)</f>
        <v>29.999999999999996</v>
      </c>
      <c r="BA49" s="276" t="s">
        <v>24</v>
      </c>
      <c r="BB49" s="96">
        <v>25</v>
      </c>
      <c r="BC49" s="313">
        <f>(BB49*BB48/1000)/($F52*$C45)</f>
        <v>2.5632262474367735E-2</v>
      </c>
      <c r="BD49" s="276" t="s">
        <v>23</v>
      </c>
      <c r="BE49" s="62">
        <v>7.0000000000000007E-2</v>
      </c>
      <c r="BF49" s="63">
        <f>+BE49*$C44*$F$9</f>
        <v>4.2</v>
      </c>
      <c r="BG49" s="276" t="s">
        <v>24</v>
      </c>
      <c r="BH49" s="64">
        <v>4</v>
      </c>
      <c r="BI49" s="65">
        <f>BH49/($F52*$C45)</f>
        <v>6.835269993164729E-2</v>
      </c>
    </row>
    <row r="50" spans="1:61" ht="17.25" customHeight="1">
      <c r="A50" s="86" t="s">
        <v>94</v>
      </c>
      <c r="B50" s="544" t="s">
        <v>178</v>
      </c>
      <c r="C50" s="445"/>
      <c r="D50" s="445"/>
      <c r="E50" s="446"/>
      <c r="F50" s="319">
        <f>(L44+R44+L49+X44+AD44+AJ44+AP44+AV44+AV49+BB44+BB49*(BB48/1000)+BH44+BH49)/C45</f>
        <v>0.61</v>
      </c>
      <c r="G50" s="320">
        <f>F50/(F50+F51)</f>
        <v>0.5324720670391061</v>
      </c>
      <c r="H50" s="70" t="s">
        <v>27</v>
      </c>
      <c r="I50" s="286">
        <v>7.0000000000000007E-2</v>
      </c>
      <c r="J50" s="287">
        <f>+I50*$E44*$F49</f>
        <v>2.1</v>
      </c>
      <c r="K50" s="70" t="s">
        <v>28</v>
      </c>
      <c r="L50" s="288">
        <v>2</v>
      </c>
      <c r="M50" s="289">
        <f>L50/($F52*$E45)</f>
        <v>6.835269993164729E-2</v>
      </c>
      <c r="N50" s="304" t="str">
        <f>VLOOKUP(N43,Friteuse!A:M,8,FALSE())</f>
        <v>Sel</v>
      </c>
      <c r="O50" s="79"/>
      <c r="P50" s="79"/>
      <c r="Q50" s="79"/>
      <c r="R50" s="530">
        <f>VLOOKUP(N43,Friteuse!A:M,9,FALSE())*P46</f>
        <v>1.7999999999999999E-2</v>
      </c>
      <c r="S50" s="475"/>
      <c r="T50" s="302" t="str">
        <f>VLOOKUP(T43,Wok!A:M,8,FALSE())</f>
        <v>Farine</v>
      </c>
      <c r="U50" s="77"/>
      <c r="V50" s="77"/>
      <c r="W50" s="77"/>
      <c r="X50" s="530">
        <f>VLOOKUP(T43,Wok!A:M,9,FALSE())*V46</f>
        <v>0.23399999999999999</v>
      </c>
      <c r="Y50" s="475"/>
      <c r="Z50" s="302" t="str">
        <f>VLOOKUP(Z43,Poele!A:M,8,FALSE())</f>
        <v>Herbes</v>
      </c>
      <c r="AA50" s="77"/>
      <c r="AB50" s="77"/>
      <c r="AC50" s="77"/>
      <c r="AD50" s="530">
        <f>VLOOKUP(Z43,Poele!A:M,9,FALSE())*AB46</f>
        <v>2.6999999999999996E-2</v>
      </c>
      <c r="AE50" s="475"/>
      <c r="AF50" s="302" t="str">
        <f>VLOOKUP(AF43,Four!A:M,8,FALSE())</f>
        <v>Celeri</v>
      </c>
      <c r="AG50" s="77"/>
      <c r="AH50" s="77"/>
      <c r="AI50" s="77"/>
      <c r="AJ50" s="530">
        <f>VLOOKUP(AF43,Four!A:M,9,FALSE())*AH46</f>
        <v>0.54</v>
      </c>
      <c r="AK50" s="475"/>
      <c r="AL50" s="302" t="str">
        <f>VLOOKUP(AL43,Four!A:M,8,FALSE())</f>
        <v>Oignon</v>
      </c>
      <c r="AM50" s="77"/>
      <c r="AN50" s="77"/>
      <c r="AO50" s="77"/>
      <c r="AP50" s="530">
        <f>VLOOKUP(AL43,Four!A:M,9,FALSE())*AN46</f>
        <v>0.39</v>
      </c>
      <c r="AQ50" s="475"/>
      <c r="AR50" s="70" t="s">
        <v>27</v>
      </c>
      <c r="AS50" s="286">
        <v>0.09</v>
      </c>
      <c r="AT50" s="287">
        <f>+AS50*$E44*$F49</f>
        <v>2.6999999999999997</v>
      </c>
      <c r="AU50" s="70" t="s">
        <v>28</v>
      </c>
      <c r="AV50" s="288">
        <v>2</v>
      </c>
      <c r="AW50" s="289">
        <f>AV50/($F52*$E45)</f>
        <v>6.835269993164729E-2</v>
      </c>
      <c r="AX50" s="80" t="s">
        <v>27</v>
      </c>
      <c r="AY50" s="286">
        <v>0.03</v>
      </c>
      <c r="AZ50" s="321">
        <f>AY50*E44*F49/(BB48/1000)</f>
        <v>14.999999999999998</v>
      </c>
      <c r="BA50" s="70" t="s">
        <v>28</v>
      </c>
      <c r="BB50" s="322">
        <v>13</v>
      </c>
      <c r="BC50" s="315">
        <f>(BB50*BB48/1000)/($F52*$E45)</f>
        <v>2.6657552973342446E-2</v>
      </c>
      <c r="BD50" s="70" t="s">
        <v>27</v>
      </c>
      <c r="BE50" s="286">
        <v>7.0000000000000007E-2</v>
      </c>
      <c r="BF50" s="287">
        <f>+BE50*$E44*$F49</f>
        <v>2.1</v>
      </c>
      <c r="BG50" s="70" t="s">
        <v>28</v>
      </c>
      <c r="BH50" s="288">
        <v>2</v>
      </c>
      <c r="BI50" s="290">
        <f>BH50/($F52*$E45)</f>
        <v>6.835269993164729E-2</v>
      </c>
    </row>
    <row r="51" spans="1:61" ht="17.25" customHeight="1">
      <c r="A51" s="86" t="s">
        <v>45</v>
      </c>
      <c r="B51" s="447"/>
      <c r="C51" s="434"/>
      <c r="D51" s="434"/>
      <c r="E51" s="435"/>
      <c r="F51" s="323">
        <f>(L45+L50+R45+X45+AD45+AJ45+AP45+AV45+AV50+BB45+BB50*(BB48/1000)+BH50+BH45)/E45</f>
        <v>0.53560000000000008</v>
      </c>
      <c r="G51" s="324">
        <f>F51/(F50+F51)</f>
        <v>0.46752793296089395</v>
      </c>
      <c r="H51" s="298" t="s">
        <v>31</v>
      </c>
      <c r="I51" s="299">
        <f>+J51/$G44</f>
        <v>4.2000000000000003E-2</v>
      </c>
      <c r="J51" s="74">
        <f>SUM(J49:J50)</f>
        <v>6.3000000000000007</v>
      </c>
      <c r="K51" s="75" t="s">
        <v>31</v>
      </c>
      <c r="L51" s="300">
        <f>SUM(L49:L50)</f>
        <v>6</v>
      </c>
      <c r="M51" s="301">
        <f>L51/($F52*$G45)</f>
        <v>6.8352699931647304E-2</v>
      </c>
      <c r="N51" s="304" t="str">
        <f>VLOOKUP(N43,Friteuse!A:M,10,FALSE())</f>
        <v>Panko</v>
      </c>
      <c r="O51" s="78"/>
      <c r="P51" s="78"/>
      <c r="Q51" s="78"/>
      <c r="R51" s="530">
        <f>VLOOKUP(N43,Friteuse!A:M,11,FALSE())*P46</f>
        <v>0.12</v>
      </c>
      <c r="S51" s="475"/>
      <c r="T51" s="302" t="str">
        <f>VLOOKUP(T43,Wok!A:M,10,FALSE())</f>
        <v>Curry</v>
      </c>
      <c r="U51" s="81"/>
      <c r="V51" s="81"/>
      <c r="W51" s="81"/>
      <c r="X51" s="530">
        <f>VLOOKUP(T43,Wok!A:M,11,FALSE())*V46</f>
        <v>7.8E-2</v>
      </c>
      <c r="Y51" s="475"/>
      <c r="Z51" s="302" t="str">
        <f>VLOOKUP(Z43,Poele!A:M,10,FALSE())</f>
        <v>Beurre</v>
      </c>
      <c r="AA51" s="81"/>
      <c r="AB51" s="81"/>
      <c r="AC51" s="81"/>
      <c r="AD51" s="530">
        <f>VLOOKUP(Z43,Poele!A:M,11,FALSE())*AB46</f>
        <v>0.21599999999999997</v>
      </c>
      <c r="AE51" s="475"/>
      <c r="AF51" s="302" t="str">
        <f>VLOOKUP(AF43,Four!A:M,10,FALSE())</f>
        <v>Champignons</v>
      </c>
      <c r="AG51" s="81"/>
      <c r="AH51" s="81"/>
      <c r="AI51" s="81"/>
      <c r="AJ51" s="530">
        <f>VLOOKUP(AF43,Four!A:M,11,FALSE())*AH46</f>
        <v>0.80999999999999994</v>
      </c>
      <c r="AK51" s="475"/>
      <c r="AL51" s="302" t="str">
        <f>VLOOKUP(AL43,Four!A:M,10,FALSE())</f>
        <v>Ail / Paprika / Gingembre</v>
      </c>
      <c r="AM51" s="81"/>
      <c r="AN51" s="81"/>
      <c r="AO51" s="81"/>
      <c r="AP51" s="530">
        <f>VLOOKUP(AL43,Four!A:M,11,FALSE())*AN46</f>
        <v>0</v>
      </c>
      <c r="AQ51" s="475"/>
      <c r="AR51" s="298" t="s">
        <v>31</v>
      </c>
      <c r="AS51" s="299">
        <f>+AT51/$G44</f>
        <v>0.05</v>
      </c>
      <c r="AT51" s="74">
        <f>SUM(AT49:AT50)</f>
        <v>7.5</v>
      </c>
      <c r="AU51" s="75" t="s">
        <v>31</v>
      </c>
      <c r="AV51" s="300">
        <f>SUM(AV49:AV50)</f>
        <v>6</v>
      </c>
      <c r="AW51" s="301">
        <f>AV51/($F52*$G45)</f>
        <v>6.8352699931647304E-2</v>
      </c>
      <c r="AX51" s="308" t="s">
        <v>31</v>
      </c>
      <c r="AY51" s="299"/>
      <c r="AZ51" s="97">
        <f>SUM(AZ49:AZ50)</f>
        <v>44.999999999999993</v>
      </c>
      <c r="BA51" s="75" t="s">
        <v>31</v>
      </c>
      <c r="BB51" s="325">
        <f>SUM(BB49:BB50)</f>
        <v>38</v>
      </c>
      <c r="BC51" s="295">
        <f>(BB51*BB48/1000)/($F52*$G45)</f>
        <v>2.5974025974025972E-2</v>
      </c>
      <c r="BD51" s="298" t="s">
        <v>31</v>
      </c>
      <c r="BE51" s="299">
        <f>+BF51/$G44</f>
        <v>4.2000000000000003E-2</v>
      </c>
      <c r="BF51" s="74">
        <f>SUM(BF49:BF50)</f>
        <v>6.3000000000000007</v>
      </c>
      <c r="BG51" s="75" t="s">
        <v>31</v>
      </c>
      <c r="BH51" s="300">
        <f>SUM(BH49:BH50)</f>
        <v>6</v>
      </c>
      <c r="BI51" s="76">
        <f>BH51/($F52*$G45)</f>
        <v>6.8352699931647304E-2</v>
      </c>
    </row>
    <row r="52" spans="1:61" ht="17.25" customHeight="1">
      <c r="A52" s="86" t="s">
        <v>56</v>
      </c>
      <c r="B52" s="545" t="s">
        <v>159</v>
      </c>
      <c r="C52" s="431"/>
      <c r="D52" s="431"/>
      <c r="E52" s="432"/>
      <c r="F52" s="546">
        <f>(L46+L51+R46+X46+AD46+AJ46+AP46+AV46+AV51+BB51*BB48/1000+BB46+BH46+BH51)/G45</f>
        <v>0.58520000000000005</v>
      </c>
      <c r="G52" s="435"/>
      <c r="H52" s="302" t="str">
        <f>VLOOKUP(H48,Plancha2!A:M,2,FALSE())</f>
        <v>Lamelle encornet</v>
      </c>
      <c r="I52" s="82"/>
      <c r="J52" s="78"/>
      <c r="K52" s="78"/>
      <c r="L52" s="529">
        <f>J51</f>
        <v>6.3000000000000007</v>
      </c>
      <c r="M52" s="475"/>
      <c r="N52" s="304">
        <f>VLOOKUP(N43,Friteuse!A:M,12,FALSE())</f>
        <v>0</v>
      </c>
      <c r="O52" s="306"/>
      <c r="P52" s="306"/>
      <c r="Q52" s="306"/>
      <c r="R52" s="542">
        <f>VLOOKUP(N43,Friteuse!A:M,13,FALSE())*P46</f>
        <v>0</v>
      </c>
      <c r="S52" s="435"/>
      <c r="T52" s="302" t="str">
        <f>VLOOKUP(T43,Wok!A:M,12,FALSE())</f>
        <v>Creme</v>
      </c>
      <c r="U52" s="309"/>
      <c r="V52" s="309"/>
      <c r="W52" s="309"/>
      <c r="X52" s="542">
        <f>VLOOKUP(T43,Wok!A:M,13,FALSE())*V46</f>
        <v>0.312</v>
      </c>
      <c r="Y52" s="435"/>
      <c r="Z52" s="302">
        <f>VLOOKUP(Z43,Poele!A:M,12,FALSE())</f>
        <v>0</v>
      </c>
      <c r="AA52" s="309"/>
      <c r="AB52" s="309"/>
      <c r="AC52" s="309"/>
      <c r="AD52" s="542">
        <f>VLOOKUP(Z43,Poele!A:M,13,FALSE())*AB46</f>
        <v>0</v>
      </c>
      <c r="AE52" s="435"/>
      <c r="AF52" s="302" t="str">
        <f>VLOOKUP(AF43,Four!A:M,12,FALSE())</f>
        <v>Oignons</v>
      </c>
      <c r="AG52" s="309"/>
      <c r="AH52" s="309"/>
      <c r="AI52" s="309"/>
      <c r="AJ52" s="542">
        <f>VLOOKUP(AF43,Four!A:M,13,FALSE())*AH46</f>
        <v>0.54</v>
      </c>
      <c r="AK52" s="435"/>
      <c r="AL52" s="302">
        <f>VLOOKUP(AL43,Four!A:M,12,FALSE())</f>
        <v>0</v>
      </c>
      <c r="AM52" s="309"/>
      <c r="AN52" s="309"/>
      <c r="AO52" s="309"/>
      <c r="AP52" s="542">
        <f>VLOOKUP(AL43,Four!A:M,13,FALSE())*AN46</f>
        <v>0</v>
      </c>
      <c r="AQ52" s="435"/>
      <c r="AR52" s="310" t="s">
        <v>74</v>
      </c>
      <c r="AS52" s="82"/>
      <c r="AT52" s="78"/>
      <c r="AU52" s="78"/>
      <c r="AV52" s="529">
        <f>AT51</f>
        <v>7.5</v>
      </c>
      <c r="AW52" s="475"/>
      <c r="AX52" s="538" t="s">
        <v>75</v>
      </c>
      <c r="AY52" s="461"/>
      <c r="AZ52" s="461"/>
      <c r="BA52" s="311"/>
      <c r="BB52" s="529">
        <f>AZ51*(BB48/1000)</f>
        <v>2.6999999999999993</v>
      </c>
      <c r="BC52" s="475"/>
      <c r="BD52" s="543" t="s">
        <v>115</v>
      </c>
      <c r="BE52" s="461"/>
      <c r="BF52" s="461"/>
      <c r="BG52" s="311"/>
      <c r="BH52" s="529">
        <f>BF51</f>
        <v>6.3000000000000007</v>
      </c>
      <c r="BI52" s="503"/>
    </row>
    <row r="53" spans="1:61" ht="17.25" customHeight="1">
      <c r="A53" s="55">
        <f>A43+1</f>
        <v>45311</v>
      </c>
      <c r="B53" s="547" t="s">
        <v>8</v>
      </c>
      <c r="C53" s="432"/>
      <c r="D53" s="547" t="s">
        <v>9</v>
      </c>
      <c r="E53" s="432"/>
      <c r="F53" s="317" t="s">
        <v>10</v>
      </c>
      <c r="G53" s="318"/>
      <c r="H53" s="521" t="s">
        <v>149</v>
      </c>
      <c r="I53" s="431"/>
      <c r="J53" s="431"/>
      <c r="K53" s="431"/>
      <c r="L53" s="431"/>
      <c r="M53" s="432"/>
      <c r="N53" s="522" t="s">
        <v>197</v>
      </c>
      <c r="O53" s="431"/>
      <c r="P53" s="431"/>
      <c r="Q53" s="431"/>
      <c r="R53" s="431"/>
      <c r="S53" s="432"/>
      <c r="T53" s="523" t="s">
        <v>270</v>
      </c>
      <c r="U53" s="431"/>
      <c r="V53" s="431"/>
      <c r="W53" s="431"/>
      <c r="X53" s="431"/>
      <c r="Y53" s="432"/>
      <c r="Z53" s="523" t="s">
        <v>263</v>
      </c>
      <c r="AA53" s="431"/>
      <c r="AB53" s="431"/>
      <c r="AC53" s="431"/>
      <c r="AD53" s="431"/>
      <c r="AE53" s="432"/>
      <c r="AF53" s="519" t="s">
        <v>277</v>
      </c>
      <c r="AG53" s="431"/>
      <c r="AH53" s="431"/>
      <c r="AI53" s="431"/>
      <c r="AJ53" s="431"/>
      <c r="AK53" s="432"/>
      <c r="AL53" s="519" t="s">
        <v>243</v>
      </c>
      <c r="AM53" s="431"/>
      <c r="AN53" s="431"/>
      <c r="AO53" s="431"/>
      <c r="AP53" s="431"/>
      <c r="AQ53" s="432"/>
      <c r="AR53" s="481" t="s">
        <v>18</v>
      </c>
      <c r="AS53" s="431"/>
      <c r="AT53" s="431"/>
      <c r="AU53" s="431"/>
      <c r="AV53" s="431"/>
      <c r="AW53" s="432"/>
      <c r="AX53" s="482" t="s">
        <v>154</v>
      </c>
      <c r="AY53" s="434"/>
      <c r="AZ53" s="434"/>
      <c r="BA53" s="434"/>
      <c r="BB53" s="434"/>
      <c r="BC53" s="435"/>
      <c r="BD53" s="483" t="s">
        <v>155</v>
      </c>
      <c r="BE53" s="431"/>
      <c r="BF53" s="431"/>
      <c r="BG53" s="431"/>
      <c r="BH53" s="431"/>
      <c r="BI53" s="484"/>
    </row>
    <row r="54" spans="1:61" ht="17.25" customHeight="1">
      <c r="A54" s="326"/>
      <c r="B54" s="270" t="s">
        <v>22</v>
      </c>
      <c r="C54" s="271">
        <v>100</v>
      </c>
      <c r="D54" s="270" t="s">
        <v>22</v>
      </c>
      <c r="E54" s="272">
        <v>50</v>
      </c>
      <c r="F54" s="270" t="s">
        <v>22</v>
      </c>
      <c r="G54" s="56">
        <f t="shared" ref="G54:G55" si="5">+C54+E54</f>
        <v>150</v>
      </c>
      <c r="H54" s="276" t="s">
        <v>23</v>
      </c>
      <c r="I54" s="62">
        <v>0.05</v>
      </c>
      <c r="J54" s="63">
        <f>+I54*$C54*$F59</f>
        <v>3</v>
      </c>
      <c r="K54" s="276" t="s">
        <v>24</v>
      </c>
      <c r="L54" s="64">
        <v>3</v>
      </c>
      <c r="M54" s="277">
        <f>L54/($F62*$C55)</f>
        <v>5.1264524948735471E-2</v>
      </c>
      <c r="N54" s="273" t="s">
        <v>23</v>
      </c>
      <c r="O54" s="57">
        <v>0.01</v>
      </c>
      <c r="P54" s="58">
        <f>+O54*$C54*$F59</f>
        <v>0.6</v>
      </c>
      <c r="Q54" s="273" t="s">
        <v>24</v>
      </c>
      <c r="R54" s="84">
        <v>0.5</v>
      </c>
      <c r="S54" s="313">
        <f>R54/($F62*$C55)</f>
        <v>8.5440874914559112E-3</v>
      </c>
      <c r="T54" s="274" t="s">
        <v>23</v>
      </c>
      <c r="U54" s="60">
        <v>0.05</v>
      </c>
      <c r="V54" s="61">
        <f>+U54*$C54*$F59</f>
        <v>3</v>
      </c>
      <c r="W54" s="274" t="s">
        <v>24</v>
      </c>
      <c r="X54" s="59">
        <v>3</v>
      </c>
      <c r="Y54" s="275">
        <f>X54/($F62*$C55)</f>
        <v>5.1264524948735471E-2</v>
      </c>
      <c r="Z54" s="274" t="s">
        <v>23</v>
      </c>
      <c r="AA54" s="60">
        <v>0.03</v>
      </c>
      <c r="AB54" s="61">
        <f>+AA54*$C54*$F59</f>
        <v>1.7999999999999998</v>
      </c>
      <c r="AC54" s="274" t="s">
        <v>24</v>
      </c>
      <c r="AD54" s="59">
        <v>2</v>
      </c>
      <c r="AE54" s="275">
        <f>AD54/($F62*$C55)</f>
        <v>3.4176349965823645E-2</v>
      </c>
      <c r="AF54" s="274" t="s">
        <v>23</v>
      </c>
      <c r="AG54" s="60">
        <v>0.1</v>
      </c>
      <c r="AH54" s="61">
        <f>+AG54*$C54*$F59</f>
        <v>6</v>
      </c>
      <c r="AI54" s="274" t="s">
        <v>24</v>
      </c>
      <c r="AJ54" s="59">
        <v>6</v>
      </c>
      <c r="AK54" s="275">
        <f>AJ54/($F62*$C55)</f>
        <v>0.10252904989747094</v>
      </c>
      <c r="AL54" s="274" t="s">
        <v>23</v>
      </c>
      <c r="AM54" s="60">
        <v>0.05</v>
      </c>
      <c r="AN54" s="61">
        <f>+AM54*$C54*$F59</f>
        <v>3</v>
      </c>
      <c r="AO54" s="274" t="s">
        <v>24</v>
      </c>
      <c r="AP54" s="59">
        <v>3</v>
      </c>
      <c r="AQ54" s="275">
        <f>AP54/($F62*$C55)</f>
        <v>5.1264524948735471E-2</v>
      </c>
      <c r="AR54" s="276" t="s">
        <v>23</v>
      </c>
      <c r="AS54" s="62">
        <v>0.08</v>
      </c>
      <c r="AT54" s="63">
        <f>+AS54*$C54*$F59</f>
        <v>4.8</v>
      </c>
      <c r="AU54" s="276" t="s">
        <v>24</v>
      </c>
      <c r="AV54" s="64">
        <v>4</v>
      </c>
      <c r="AW54" s="277">
        <f>AV54/($F62*$C55)</f>
        <v>6.835269993164729E-2</v>
      </c>
      <c r="AX54" s="276" t="s">
        <v>23</v>
      </c>
      <c r="AY54" s="62">
        <v>0.43</v>
      </c>
      <c r="AZ54" s="63">
        <f>+AY54*$C54*$F59</f>
        <v>25.8</v>
      </c>
      <c r="BA54" s="276" t="s">
        <v>24</v>
      </c>
      <c r="BB54" s="64">
        <v>25</v>
      </c>
      <c r="BC54" s="277">
        <f>BB54/($F62*$C55)</f>
        <v>0.42720437457279559</v>
      </c>
      <c r="BD54" s="276" t="s">
        <v>23</v>
      </c>
      <c r="BE54" s="62">
        <v>0.02</v>
      </c>
      <c r="BF54" s="63">
        <f>+BE54*$C54*$F59</f>
        <v>1.2</v>
      </c>
      <c r="BG54" s="276" t="s">
        <v>24</v>
      </c>
      <c r="BH54" s="64">
        <v>1</v>
      </c>
      <c r="BI54" s="65">
        <f>BH54/($F62*$C55)</f>
        <v>1.7088174982911822E-2</v>
      </c>
    </row>
    <row r="55" spans="1:61" ht="17.25" customHeight="1">
      <c r="A55" s="327" t="s">
        <v>133</v>
      </c>
      <c r="B55" s="266" t="s">
        <v>26</v>
      </c>
      <c r="C55" s="66">
        <v>100</v>
      </c>
      <c r="D55" s="266" t="s">
        <v>26</v>
      </c>
      <c r="E55" s="67">
        <v>50</v>
      </c>
      <c r="F55" s="266" t="s">
        <v>26</v>
      </c>
      <c r="G55" s="279">
        <f t="shared" si="5"/>
        <v>150</v>
      </c>
      <c r="H55" s="70" t="s">
        <v>27</v>
      </c>
      <c r="I55" s="286">
        <v>0.03</v>
      </c>
      <c r="J55" s="287">
        <f>+I55*$E54*$F59</f>
        <v>0.89999999999999991</v>
      </c>
      <c r="K55" s="70" t="s">
        <v>28</v>
      </c>
      <c r="L55" s="288">
        <v>1</v>
      </c>
      <c r="M55" s="289">
        <f>L55/($F62*$E55)</f>
        <v>3.4176349965823645E-2</v>
      </c>
      <c r="N55" s="68" t="s">
        <v>27</v>
      </c>
      <c r="O55" s="280">
        <v>0.02</v>
      </c>
      <c r="P55" s="281">
        <f>+O55*$E54*$F59</f>
        <v>0.6</v>
      </c>
      <c r="Q55" s="68" t="s">
        <v>28</v>
      </c>
      <c r="R55" s="314">
        <v>0.5</v>
      </c>
      <c r="S55" s="315">
        <f>R55/($F62*$E55)</f>
        <v>1.7088174982911822E-2</v>
      </c>
      <c r="T55" s="69" t="s">
        <v>27</v>
      </c>
      <c r="U55" s="284">
        <v>0.03</v>
      </c>
      <c r="V55" s="285">
        <f>+U55*$E54*$F59</f>
        <v>0.89999999999999991</v>
      </c>
      <c r="W55" s="69" t="s">
        <v>28</v>
      </c>
      <c r="X55" s="282">
        <v>1</v>
      </c>
      <c r="Y55" s="283">
        <f>X55/($F62*$E55)</f>
        <v>3.4176349965823645E-2</v>
      </c>
      <c r="Z55" s="69" t="s">
        <v>27</v>
      </c>
      <c r="AA55" s="284">
        <v>0.03</v>
      </c>
      <c r="AB55" s="285">
        <f>+AA55*$E54*$F59</f>
        <v>0.89999999999999991</v>
      </c>
      <c r="AC55" s="69" t="s">
        <v>28</v>
      </c>
      <c r="AD55" s="282">
        <v>1</v>
      </c>
      <c r="AE55" s="283">
        <f>AD55/($F62*$E55)</f>
        <v>3.4176349965823645E-2</v>
      </c>
      <c r="AF55" s="69" t="s">
        <v>27</v>
      </c>
      <c r="AG55" s="284">
        <v>0.1</v>
      </c>
      <c r="AH55" s="285">
        <f>+AG55*$E54*$F59</f>
        <v>3</v>
      </c>
      <c r="AI55" s="69" t="s">
        <v>28</v>
      </c>
      <c r="AJ55" s="282">
        <v>3</v>
      </c>
      <c r="AK55" s="283">
        <f>AJ55/($F62*$E55)</f>
        <v>0.10252904989747094</v>
      </c>
      <c r="AL55" s="69" t="s">
        <v>27</v>
      </c>
      <c r="AM55" s="284">
        <v>0.03</v>
      </c>
      <c r="AN55" s="285">
        <f>+AM55*$E54*$F59</f>
        <v>0.89999999999999991</v>
      </c>
      <c r="AO55" s="69" t="s">
        <v>28</v>
      </c>
      <c r="AP55" s="282">
        <v>1</v>
      </c>
      <c r="AQ55" s="283">
        <f>AP55/($F62*$E55)</f>
        <v>3.4176349965823645E-2</v>
      </c>
      <c r="AR55" s="70" t="s">
        <v>27</v>
      </c>
      <c r="AS55" s="286">
        <v>0.09</v>
      </c>
      <c r="AT55" s="287">
        <f>+AS55*$E54*$F59</f>
        <v>2.6999999999999997</v>
      </c>
      <c r="AU55" s="70" t="s">
        <v>28</v>
      </c>
      <c r="AV55" s="288">
        <v>2</v>
      </c>
      <c r="AW55" s="289">
        <f>AV55/($F62*$E55)</f>
        <v>6.835269993164729E-2</v>
      </c>
      <c r="AX55" s="70" t="s">
        <v>27</v>
      </c>
      <c r="AY55" s="286">
        <v>0.34</v>
      </c>
      <c r="AZ55" s="287">
        <f>+AY55*$E54*$F59</f>
        <v>10.199999999999999</v>
      </c>
      <c r="BA55" s="70" t="s">
        <v>28</v>
      </c>
      <c r="BB55" s="288">
        <v>10</v>
      </c>
      <c r="BC55" s="289">
        <f>BB55/($F62*$E55)</f>
        <v>0.34176349965823649</v>
      </c>
      <c r="BD55" s="70" t="s">
        <v>27</v>
      </c>
      <c r="BE55" s="286">
        <v>0.02</v>
      </c>
      <c r="BF55" s="287">
        <f>+BE55*$E54*$F59</f>
        <v>0.6</v>
      </c>
      <c r="BG55" s="70" t="s">
        <v>28</v>
      </c>
      <c r="BH55" s="288">
        <v>0.5</v>
      </c>
      <c r="BI55" s="290">
        <f>BH55/($F62*$E55)</f>
        <v>1.7088174982911822E-2</v>
      </c>
    </row>
    <row r="56" spans="1:61" ht="17.25" customHeight="1">
      <c r="A56" s="328" t="s">
        <v>80</v>
      </c>
      <c r="B56" s="532" t="s">
        <v>30</v>
      </c>
      <c r="C56" s="454"/>
      <c r="D56" s="455"/>
      <c r="E56" s="533">
        <f>(I54+O54+U54+AA54+AG54+AM54+AS54+AY54+BE54+BE59+AY59+AS59+I59)/2</f>
        <v>0.53500000000000014</v>
      </c>
      <c r="F56" s="457"/>
      <c r="G56" s="534">
        <f>(E56+E57)</f>
        <v>1.0100000000000002</v>
      </c>
      <c r="H56" s="298" t="s">
        <v>31</v>
      </c>
      <c r="I56" s="299">
        <f>+J56/$G54</f>
        <v>2.5999999999999999E-2</v>
      </c>
      <c r="J56" s="74">
        <f>SUM(J54:J55)</f>
        <v>3.9</v>
      </c>
      <c r="K56" s="75" t="s">
        <v>31</v>
      </c>
      <c r="L56" s="300">
        <f>SUM(L54:L55)</f>
        <v>4</v>
      </c>
      <c r="M56" s="301">
        <f>L56/($F62*$G55)</f>
        <v>4.5568466621098203E-2</v>
      </c>
      <c r="N56" s="292" t="s">
        <v>31</v>
      </c>
      <c r="O56" s="293">
        <f>+P56/$G54</f>
        <v>8.0000000000000002E-3</v>
      </c>
      <c r="P56" s="71">
        <f>SUM(P54:P55)</f>
        <v>1.2</v>
      </c>
      <c r="Q56" s="85" t="s">
        <v>31</v>
      </c>
      <c r="R56" s="316">
        <f>SUM(R54:R55)</f>
        <v>1</v>
      </c>
      <c r="S56" s="295">
        <f>R56/($F62*$G55)</f>
        <v>1.1392116655274551E-2</v>
      </c>
      <c r="T56" s="296" t="s">
        <v>31</v>
      </c>
      <c r="U56" s="297">
        <f>+V56/$G54</f>
        <v>2.5999999999999999E-2</v>
      </c>
      <c r="V56" s="73">
        <f>SUM(V54:V55)</f>
        <v>3.9</v>
      </c>
      <c r="W56" s="72" t="s">
        <v>31</v>
      </c>
      <c r="X56" s="294">
        <f>SUM(X54:X55)</f>
        <v>4</v>
      </c>
      <c r="Y56" s="295">
        <f>X56/($F62*$G55)</f>
        <v>4.5568466621098203E-2</v>
      </c>
      <c r="Z56" s="296" t="s">
        <v>31</v>
      </c>
      <c r="AA56" s="297">
        <f>+AB56/$G54</f>
        <v>1.7999999999999999E-2</v>
      </c>
      <c r="AB56" s="73">
        <f>SUM(AB54:AB55)</f>
        <v>2.6999999999999997</v>
      </c>
      <c r="AC56" s="72" t="s">
        <v>31</v>
      </c>
      <c r="AD56" s="294">
        <f>SUM(AD54:AD55)</f>
        <v>3</v>
      </c>
      <c r="AE56" s="295">
        <f>AD56/($F62*$G55)</f>
        <v>3.4176349965823652E-2</v>
      </c>
      <c r="AF56" s="296" t="s">
        <v>31</v>
      </c>
      <c r="AG56" s="297">
        <f>+AH56/$G54</f>
        <v>0.06</v>
      </c>
      <c r="AH56" s="73">
        <f>SUM(AH54:AH55)</f>
        <v>9</v>
      </c>
      <c r="AI56" s="72" t="s">
        <v>31</v>
      </c>
      <c r="AJ56" s="294">
        <f>SUM(AJ54:AJ55)</f>
        <v>9</v>
      </c>
      <c r="AK56" s="295">
        <f>AJ56/($F62*$G55)</f>
        <v>0.10252904989747094</v>
      </c>
      <c r="AL56" s="296" t="s">
        <v>31</v>
      </c>
      <c r="AM56" s="297">
        <f>+AN56/$G54</f>
        <v>2.5999999999999999E-2</v>
      </c>
      <c r="AN56" s="73">
        <f>SUM(AN54:AN55)</f>
        <v>3.9</v>
      </c>
      <c r="AO56" s="72" t="s">
        <v>31</v>
      </c>
      <c r="AP56" s="294">
        <f>SUM(AP54:AP55)</f>
        <v>4</v>
      </c>
      <c r="AQ56" s="295">
        <f>AP56/($F62*$G55)</f>
        <v>4.5568466621098203E-2</v>
      </c>
      <c r="AR56" s="298" t="s">
        <v>31</v>
      </c>
      <c r="AS56" s="299">
        <f>+AT56/$G54</f>
        <v>0.05</v>
      </c>
      <c r="AT56" s="74">
        <f>SUM(AT54:AT55)</f>
        <v>7.5</v>
      </c>
      <c r="AU56" s="75" t="s">
        <v>31</v>
      </c>
      <c r="AV56" s="300">
        <f>SUM(AV54:AV55)</f>
        <v>6</v>
      </c>
      <c r="AW56" s="301">
        <f>AV56/($F62*$G55)</f>
        <v>6.8352699931647304E-2</v>
      </c>
      <c r="AX56" s="298" t="s">
        <v>31</v>
      </c>
      <c r="AY56" s="299">
        <f>+AZ56/$G54</f>
        <v>0.24</v>
      </c>
      <c r="AZ56" s="74">
        <f>SUM(AZ54:AZ55)</f>
        <v>36</v>
      </c>
      <c r="BA56" s="75" t="s">
        <v>31</v>
      </c>
      <c r="BB56" s="300">
        <f>SUM(BB54:BB55)</f>
        <v>35</v>
      </c>
      <c r="BC56" s="301">
        <f>BB56/($F62*$G55)</f>
        <v>0.39872408293460926</v>
      </c>
      <c r="BD56" s="298" t="s">
        <v>31</v>
      </c>
      <c r="BE56" s="299">
        <f>+BF56/$G54</f>
        <v>1.1999999999999999E-2</v>
      </c>
      <c r="BF56" s="74">
        <f>SUM(BF54:BF55)</f>
        <v>1.7999999999999998</v>
      </c>
      <c r="BG56" s="75" t="s">
        <v>31</v>
      </c>
      <c r="BH56" s="300">
        <f>SUM(BH54:BH55)</f>
        <v>1.5</v>
      </c>
      <c r="BI56" s="76">
        <f>BH56/($F62*$G55)</f>
        <v>1.7088174982911826E-2</v>
      </c>
    </row>
    <row r="57" spans="1:61" ht="17.25" customHeight="1">
      <c r="A57" s="102" t="s">
        <v>79</v>
      </c>
      <c r="B57" s="535" t="s">
        <v>34</v>
      </c>
      <c r="C57" s="461"/>
      <c r="D57" s="462"/>
      <c r="E57" s="536">
        <f>(I55+O55+U55+AA55+AG55+AM55+AS55+AY55+BE55+AS60+AY60+BE60+I60)/2</f>
        <v>0.47500000000000009</v>
      </c>
      <c r="F57" s="464"/>
      <c r="G57" s="459"/>
      <c r="H57" s="537" t="str">
        <f>VLOOKUP(H53,Plancha2!A:M,2,FALSE())</f>
        <v>Poisson</v>
      </c>
      <c r="I57" s="474"/>
      <c r="J57" s="474"/>
      <c r="K57" s="306"/>
      <c r="L57" s="529">
        <f>J56</f>
        <v>3.9</v>
      </c>
      <c r="M57" s="475"/>
      <c r="N57" s="304" t="str">
        <f>VLOOKUP(N53,Friteuse!A:M,2,FALSE())</f>
        <v>Aiguilette</v>
      </c>
      <c r="O57" s="305"/>
      <c r="P57" s="305"/>
      <c r="Q57" s="77"/>
      <c r="R57" s="529">
        <f>VLOOKUP(N53,Friteuse!A:M,3,FALSE())*P56</f>
        <v>1.032</v>
      </c>
      <c r="S57" s="475"/>
      <c r="T57" s="302" t="str">
        <f>VLOOKUP(T53,Wok!A:M,2,FALSE())</f>
        <v>Pâtes</v>
      </c>
      <c r="U57" s="303"/>
      <c r="V57" s="303"/>
      <c r="W57" s="77"/>
      <c r="X57" s="529">
        <f>VLOOKUP(T53,Wok!A:M,3,FALSE())*V56</f>
        <v>2.2229999999999999</v>
      </c>
      <c r="Y57" s="475"/>
      <c r="Z57" s="302" t="str">
        <f>VLOOKUP(Z53,Poele!A:M,2,FALSE())</f>
        <v>Bavette flanchet</v>
      </c>
      <c r="AA57" s="303"/>
      <c r="AB57" s="303"/>
      <c r="AC57" s="77"/>
      <c r="AD57" s="529">
        <f>VLOOKUP(Z53,Poele!A:M,3,FALSE())*AB56</f>
        <v>1.6199999999999999</v>
      </c>
      <c r="AE57" s="475"/>
      <c r="AF57" s="302" t="str">
        <f>VLOOKUP(AF53,Four!A:M,2,FALSE())</f>
        <v>Dinde sauté</v>
      </c>
      <c r="AG57" s="303"/>
      <c r="AH57" s="303"/>
      <c r="AI57" s="77"/>
      <c r="AJ57" s="529">
        <f>VLOOKUP(AF53,Four!A:M,3,FALSE())*AH56</f>
        <v>6.03</v>
      </c>
      <c r="AK57" s="475"/>
      <c r="AL57" s="302" t="str">
        <f>VLOOKUP(AL53,Four!A:M,2,FALSE())</f>
        <v>Pâte lasagne</v>
      </c>
      <c r="AM57" s="303"/>
      <c r="AN57" s="303"/>
      <c r="AO57" s="77"/>
      <c r="AP57" s="529">
        <f>VLOOKUP(AL53,Four!A:M,3,FALSE())*AN56</f>
        <v>0.50700000000000001</v>
      </c>
      <c r="AQ57" s="475"/>
      <c r="AR57" s="538" t="s">
        <v>42</v>
      </c>
      <c r="AS57" s="461"/>
      <c r="AT57" s="461"/>
      <c r="AU57" s="306"/>
      <c r="AV57" s="529">
        <f>AT56</f>
        <v>7.5</v>
      </c>
      <c r="AW57" s="475"/>
      <c r="AX57" s="528" t="s">
        <v>156</v>
      </c>
      <c r="AY57" s="471"/>
      <c r="AZ57" s="471"/>
      <c r="BA57" s="78"/>
      <c r="BB57" s="529">
        <f>AZ56</f>
        <v>36</v>
      </c>
      <c r="BC57" s="475"/>
      <c r="BD57" s="528" t="s">
        <v>157</v>
      </c>
      <c r="BE57" s="471"/>
      <c r="BF57" s="471"/>
      <c r="BG57" s="78"/>
      <c r="BH57" s="529">
        <f>BF56</f>
        <v>1.7999999999999998</v>
      </c>
      <c r="BI57" s="503"/>
    </row>
    <row r="58" spans="1:61" ht="17.25" customHeight="1">
      <c r="A58" s="102" t="s">
        <v>94</v>
      </c>
      <c r="B58" s="539" t="s">
        <v>46</v>
      </c>
      <c r="C58" s="445"/>
      <c r="D58" s="517"/>
      <c r="E58" s="540">
        <f>(L56+R56+X56+AD56+AJ56+AP56+AV56+BB56+BH56+BH61+(BB61*BB58/1000)+L61+AV61)/(G55*F62)</f>
        <v>1</v>
      </c>
      <c r="F58" s="474"/>
      <c r="G58" s="475"/>
      <c r="H58" s="521" t="s">
        <v>160</v>
      </c>
      <c r="I58" s="431"/>
      <c r="J58" s="431"/>
      <c r="K58" s="431"/>
      <c r="L58" s="431"/>
      <c r="M58" s="432"/>
      <c r="N58" s="304" t="str">
        <f>VLOOKUP(N53,Friteuse!A:M,4,FALSE())</f>
        <v>Creme</v>
      </c>
      <c r="O58" s="79"/>
      <c r="P58" s="79"/>
      <c r="Q58" s="79"/>
      <c r="R58" s="530">
        <f>VLOOKUP(N53,Friteuse!A:M,5,FALSE())*P56</f>
        <v>1.2E-2</v>
      </c>
      <c r="S58" s="475"/>
      <c r="T58" s="302" t="str">
        <f>VLOOKUP(T53,Wok!A:M,4,FALSE())</f>
        <v>Poivron vert</v>
      </c>
      <c r="U58" s="77"/>
      <c r="V58" s="77"/>
      <c r="W58" s="77"/>
      <c r="X58" s="530">
        <f>VLOOKUP(T53,Wok!A:M,5,FALSE())*V56</f>
        <v>0.78</v>
      </c>
      <c r="Y58" s="475"/>
      <c r="Z58" s="302" t="str">
        <f>VLOOKUP(Z53,Poele!A:M,4,FALSE())</f>
        <v>Champignons</v>
      </c>
      <c r="AA58" s="77"/>
      <c r="AB58" s="77"/>
      <c r="AC58" s="77"/>
      <c r="AD58" s="530">
        <f>VLOOKUP(Z53,Poele!A:M,5,FALSE())*AB56</f>
        <v>0.67499999999999993</v>
      </c>
      <c r="AE58" s="475"/>
      <c r="AF58" s="302" t="str">
        <f>VLOOKUP(AF53,Four!A:M,4,FALSE())</f>
        <v>Carottes</v>
      </c>
      <c r="AG58" s="77"/>
      <c r="AH58" s="77"/>
      <c r="AI58" s="77"/>
      <c r="AJ58" s="530">
        <f>VLOOKUP(AF53,Four!A:M,5,FALSE())*AH56</f>
        <v>0.54</v>
      </c>
      <c r="AK58" s="475"/>
      <c r="AL58" s="302" t="str">
        <f>VLOOKUP(AL53,Four!A:M,4,FALSE())</f>
        <v>Chèvre buche</v>
      </c>
      <c r="AM58" s="77"/>
      <c r="AN58" s="77"/>
      <c r="AO58" s="77"/>
      <c r="AP58" s="530">
        <f>VLOOKUP(AL53,Four!A:M,5,FALSE())*AN56</f>
        <v>0.35099999999999998</v>
      </c>
      <c r="AQ58" s="475"/>
      <c r="AR58" s="481" t="s">
        <v>54</v>
      </c>
      <c r="AS58" s="431"/>
      <c r="AT58" s="431"/>
      <c r="AU58" s="431"/>
      <c r="AV58" s="431"/>
      <c r="AW58" s="432"/>
      <c r="AX58" s="481" t="s">
        <v>55</v>
      </c>
      <c r="AY58" s="431"/>
      <c r="AZ58" s="431"/>
      <c r="BA58" s="431"/>
      <c r="BB58" s="531">
        <v>60</v>
      </c>
      <c r="BC58" s="432"/>
      <c r="BD58" s="483" t="s">
        <v>269</v>
      </c>
      <c r="BE58" s="431"/>
      <c r="BF58" s="431"/>
      <c r="BG58" s="431"/>
      <c r="BH58" s="431"/>
      <c r="BI58" s="484"/>
    </row>
    <row r="59" spans="1:61" ht="17.25" customHeight="1">
      <c r="A59" s="102" t="s">
        <v>45</v>
      </c>
      <c r="B59" s="513" t="s">
        <v>158</v>
      </c>
      <c r="C59" s="445"/>
      <c r="D59" s="445"/>
      <c r="E59" s="445"/>
      <c r="F59" s="541">
        <v>0.6</v>
      </c>
      <c r="G59" s="446"/>
      <c r="H59" s="276" t="s">
        <v>23</v>
      </c>
      <c r="I59" s="62">
        <v>7.0000000000000007E-2</v>
      </c>
      <c r="J59" s="63">
        <f>+I59*$C54*$F$9</f>
        <v>4.2</v>
      </c>
      <c r="K59" s="276" t="s">
        <v>24</v>
      </c>
      <c r="L59" s="64">
        <v>4</v>
      </c>
      <c r="M59" s="277">
        <f>L59/($F62*$C55)</f>
        <v>6.835269993164729E-2</v>
      </c>
      <c r="N59" s="304" t="str">
        <f>VLOOKUP(N53,Friteuse!A:M,6,FALSE())</f>
        <v>Tandoori</v>
      </c>
      <c r="O59" s="79"/>
      <c r="P59" s="79"/>
      <c r="Q59" s="79"/>
      <c r="R59" s="530">
        <f>VLOOKUP(N53,Friteuse!A:M,7,FALSE())*P56</f>
        <v>1.7999999999999999E-2</v>
      </c>
      <c r="S59" s="475"/>
      <c r="T59" s="302" t="str">
        <f>VLOOKUP(T53,Wok!A:M,6,FALSE())</f>
        <v>Chorizo</v>
      </c>
      <c r="U59" s="77"/>
      <c r="V59" s="77"/>
      <c r="W59" s="77"/>
      <c r="X59" s="530">
        <f>VLOOKUP(T53,Wok!A:M,7,FALSE())*V56</f>
        <v>7.8E-2</v>
      </c>
      <c r="Y59" s="475"/>
      <c r="Z59" s="302" t="str">
        <f>VLOOKUP(Z53,Poele!A:M,6,FALSE())</f>
        <v>Sce Roquefort</v>
      </c>
      <c r="AA59" s="77"/>
      <c r="AB59" s="77"/>
      <c r="AC59" s="77"/>
      <c r="AD59" s="530">
        <f>VLOOKUP(Z53,Poele!A:M,7,FALSE())*AB56</f>
        <v>0.40499999999999997</v>
      </c>
      <c r="AE59" s="475"/>
      <c r="AF59" s="302" t="str">
        <f>VLOOKUP(AF53,Four!A:M,6,FALSE())</f>
        <v>Poireaux</v>
      </c>
      <c r="AG59" s="77"/>
      <c r="AH59" s="77"/>
      <c r="AI59" s="77"/>
      <c r="AJ59" s="530">
        <f>VLOOKUP(AF53,Four!A:M,7,FALSE())*AH56</f>
        <v>0.54</v>
      </c>
      <c r="AK59" s="475"/>
      <c r="AL59" s="302" t="str">
        <f>VLOOKUP(AL53,Four!A:M,6,FALSE())</f>
        <v>Courgettes</v>
      </c>
      <c r="AM59" s="77"/>
      <c r="AN59" s="77"/>
      <c r="AO59" s="77"/>
      <c r="AP59" s="530">
        <f>VLOOKUP(AL53,Four!A:M,7,FALSE())*AN56</f>
        <v>1.677</v>
      </c>
      <c r="AQ59" s="475"/>
      <c r="AR59" s="276" t="s">
        <v>23</v>
      </c>
      <c r="AS59" s="62">
        <v>0.08</v>
      </c>
      <c r="AT59" s="63">
        <f>+AS59*$C54*$F$9</f>
        <v>4.8</v>
      </c>
      <c r="AU59" s="276" t="s">
        <v>24</v>
      </c>
      <c r="AV59" s="64">
        <v>4</v>
      </c>
      <c r="AW59" s="277">
        <f>AV59/($F62*$C55)</f>
        <v>6.835269993164729E-2</v>
      </c>
      <c r="AX59" s="307" t="s">
        <v>23</v>
      </c>
      <c r="AY59" s="62">
        <v>0.03</v>
      </c>
      <c r="AZ59" s="95">
        <f>AY59*C54*F59/(BB58/1000)</f>
        <v>29.999999999999996</v>
      </c>
      <c r="BA59" s="276" t="s">
        <v>24</v>
      </c>
      <c r="BB59" s="96">
        <v>25</v>
      </c>
      <c r="BC59" s="313">
        <f>(BB59*BB58/1000)/($F62*$C55)</f>
        <v>2.5632262474367735E-2</v>
      </c>
      <c r="BD59" s="276" t="s">
        <v>23</v>
      </c>
      <c r="BE59" s="62">
        <v>7.0000000000000007E-2</v>
      </c>
      <c r="BF59" s="63">
        <f>+BE59*$C54*$F$9</f>
        <v>4.2</v>
      </c>
      <c r="BG59" s="276" t="s">
        <v>24</v>
      </c>
      <c r="BH59" s="64">
        <v>4</v>
      </c>
      <c r="BI59" s="65">
        <f>BH59/($F62*$C55)</f>
        <v>6.835269993164729E-2</v>
      </c>
    </row>
    <row r="60" spans="1:61" ht="17.25" customHeight="1">
      <c r="A60" s="102" t="s">
        <v>56</v>
      </c>
      <c r="B60" s="544" t="s">
        <v>178</v>
      </c>
      <c r="C60" s="445"/>
      <c r="D60" s="445"/>
      <c r="E60" s="446"/>
      <c r="F60" s="319">
        <f>(L54+R54+L59+X54+AD54+AJ54+AP54+AV54+AV59+BB54+BB59*(BB58/1000)+BH54+BH59)/C55</f>
        <v>0.61</v>
      </c>
      <c r="G60" s="320">
        <f>F60/(F60+F61)</f>
        <v>0.5324720670391061</v>
      </c>
      <c r="H60" s="70" t="s">
        <v>27</v>
      </c>
      <c r="I60" s="286">
        <v>7.0000000000000007E-2</v>
      </c>
      <c r="J60" s="287">
        <f>+I60*$E54*$F59</f>
        <v>2.1</v>
      </c>
      <c r="K60" s="70" t="s">
        <v>28</v>
      </c>
      <c r="L60" s="288">
        <v>2</v>
      </c>
      <c r="M60" s="289">
        <f>L60/($F62*$E55)</f>
        <v>6.835269993164729E-2</v>
      </c>
      <c r="N60" s="304" t="str">
        <f>VLOOKUP(N53,Friteuse!A:M,8,FALSE())</f>
        <v>Sel</v>
      </c>
      <c r="O60" s="79"/>
      <c r="P60" s="79"/>
      <c r="Q60" s="79"/>
      <c r="R60" s="530">
        <f>VLOOKUP(N53,Friteuse!A:M,9,FALSE())*P56</f>
        <v>1.7999999999999999E-2</v>
      </c>
      <c r="S60" s="475"/>
      <c r="T60" s="302" t="str">
        <f>VLOOKUP(T53,Wok!A:M,8,FALSE())</f>
        <v>Oignon</v>
      </c>
      <c r="U60" s="77"/>
      <c r="V60" s="77"/>
      <c r="W60" s="77"/>
      <c r="X60" s="530">
        <f>VLOOKUP(T53,Wok!A:M,9,FALSE())*V56</f>
        <v>0.46799999999999997</v>
      </c>
      <c r="Y60" s="475"/>
      <c r="Z60" s="302">
        <f>VLOOKUP(Z53,Poele!A:M,8,FALSE())</f>
        <v>0</v>
      </c>
      <c r="AA60" s="77"/>
      <c r="AB60" s="77"/>
      <c r="AC60" s="77"/>
      <c r="AD60" s="530">
        <f>VLOOKUP(Z53,Poele!A:M,9,FALSE())*AB56</f>
        <v>0</v>
      </c>
      <c r="AE60" s="475"/>
      <c r="AF60" s="302" t="str">
        <f>VLOOKUP(AF53,Four!A:M,8,FALSE())</f>
        <v>Celeri</v>
      </c>
      <c r="AG60" s="77"/>
      <c r="AH60" s="77"/>
      <c r="AI60" s="77"/>
      <c r="AJ60" s="530">
        <f>VLOOKUP(AF53,Four!A:M,9,FALSE())*AH56</f>
        <v>0.54</v>
      </c>
      <c r="AK60" s="475"/>
      <c r="AL60" s="302" t="str">
        <f>VLOOKUP(AL53,Four!A:M,8,FALSE())</f>
        <v>Béchamel</v>
      </c>
      <c r="AM60" s="77"/>
      <c r="AN60" s="77"/>
      <c r="AO60" s="77"/>
      <c r="AP60" s="530">
        <f>VLOOKUP(AL53,Four!A:M,9,FALSE())*AN56</f>
        <v>0.97499999999999998</v>
      </c>
      <c r="AQ60" s="475"/>
      <c r="AR60" s="70" t="s">
        <v>27</v>
      </c>
      <c r="AS60" s="286">
        <v>0.09</v>
      </c>
      <c r="AT60" s="287">
        <f>+AS60*$E54*$F59</f>
        <v>2.6999999999999997</v>
      </c>
      <c r="AU60" s="70" t="s">
        <v>28</v>
      </c>
      <c r="AV60" s="288">
        <v>2</v>
      </c>
      <c r="AW60" s="289">
        <f>AV60/($F62*$E55)</f>
        <v>6.835269993164729E-2</v>
      </c>
      <c r="AX60" s="80" t="s">
        <v>27</v>
      </c>
      <c r="AY60" s="286">
        <v>0.03</v>
      </c>
      <c r="AZ60" s="321">
        <f>AY60*E54*F59/(BB58/1000)</f>
        <v>14.999999999999998</v>
      </c>
      <c r="BA60" s="70" t="s">
        <v>28</v>
      </c>
      <c r="BB60" s="322">
        <v>13</v>
      </c>
      <c r="BC60" s="315">
        <f>(BB60*BB58/1000)/($F62*$E55)</f>
        <v>2.6657552973342446E-2</v>
      </c>
      <c r="BD60" s="70" t="s">
        <v>27</v>
      </c>
      <c r="BE60" s="286">
        <v>7.0000000000000007E-2</v>
      </c>
      <c r="BF60" s="287">
        <f>+BE60*$E54*$F59</f>
        <v>2.1</v>
      </c>
      <c r="BG60" s="70" t="s">
        <v>28</v>
      </c>
      <c r="BH60" s="288">
        <v>2</v>
      </c>
      <c r="BI60" s="290">
        <f>BH60/($F62*$E55)</f>
        <v>6.835269993164729E-2</v>
      </c>
    </row>
    <row r="61" spans="1:61" ht="17.25" customHeight="1">
      <c r="A61" s="102"/>
      <c r="B61" s="447"/>
      <c r="C61" s="434"/>
      <c r="D61" s="434"/>
      <c r="E61" s="435"/>
      <c r="F61" s="323">
        <f>(L55+L60+R55+X55+AD55+AJ55+AP55+AV55+AV60+BB55+BB60*(BB58/1000)+BH60+BH55)/E55</f>
        <v>0.53560000000000008</v>
      </c>
      <c r="G61" s="324">
        <f>F61/(F60+F61)</f>
        <v>0.46752793296089395</v>
      </c>
      <c r="H61" s="298" t="s">
        <v>31</v>
      </c>
      <c r="I61" s="299">
        <f>+J61/$G54</f>
        <v>4.2000000000000003E-2</v>
      </c>
      <c r="J61" s="74">
        <f>SUM(J59:J60)</f>
        <v>6.3000000000000007</v>
      </c>
      <c r="K61" s="75" t="s">
        <v>31</v>
      </c>
      <c r="L61" s="300">
        <f>SUM(L59:L60)</f>
        <v>6</v>
      </c>
      <c r="M61" s="301">
        <f>L61/($F62*$G55)</f>
        <v>6.8352699931647304E-2</v>
      </c>
      <c r="N61" s="304" t="str">
        <f>VLOOKUP(N53,Friteuse!A:M,10,FALSE())</f>
        <v>Panko</v>
      </c>
      <c r="O61" s="78"/>
      <c r="P61" s="78"/>
      <c r="Q61" s="78"/>
      <c r="R61" s="530">
        <f>VLOOKUP(N53,Friteuse!A:M,11,FALSE())*P56</f>
        <v>0.12</v>
      </c>
      <c r="S61" s="475"/>
      <c r="T61" s="302" t="str">
        <f>VLOOKUP(T53,Wok!A:M,10,FALSE())</f>
        <v>Sce napo</v>
      </c>
      <c r="U61" s="81"/>
      <c r="V61" s="81"/>
      <c r="W61" s="81"/>
      <c r="X61" s="530">
        <f>VLOOKUP(T53,Wok!A:M,11,FALSE())*V56</f>
        <v>0.46799999999999997</v>
      </c>
      <c r="Y61" s="475"/>
      <c r="Z61" s="302">
        <f>VLOOKUP(Z53,Poele!A:M,10,FALSE())</f>
        <v>0</v>
      </c>
      <c r="AA61" s="81"/>
      <c r="AB61" s="81"/>
      <c r="AC61" s="81"/>
      <c r="AD61" s="530">
        <f>VLOOKUP(Z53,Poele!A:M,11,FALSE())*AB56</f>
        <v>0</v>
      </c>
      <c r="AE61" s="475"/>
      <c r="AF61" s="302" t="str">
        <f>VLOOKUP(AF53,Four!A:M,10,FALSE())</f>
        <v>Champignons</v>
      </c>
      <c r="AG61" s="81"/>
      <c r="AH61" s="81"/>
      <c r="AI61" s="81"/>
      <c r="AJ61" s="530">
        <f>VLOOKUP(AF53,Four!A:M,11,FALSE())*AH56</f>
        <v>0.80999999999999994</v>
      </c>
      <c r="AK61" s="475"/>
      <c r="AL61" s="302" t="str">
        <f>VLOOKUP(AL53,Four!A:M,10,FALSE())</f>
        <v>Sce napo</v>
      </c>
      <c r="AM61" s="81"/>
      <c r="AN61" s="81"/>
      <c r="AO61" s="81"/>
      <c r="AP61" s="530">
        <f>VLOOKUP(AL53,Four!A:M,11,FALSE())*AN56</f>
        <v>0.19500000000000001</v>
      </c>
      <c r="AQ61" s="475"/>
      <c r="AR61" s="298" t="s">
        <v>31</v>
      </c>
      <c r="AS61" s="299">
        <f>+AT61/$G54</f>
        <v>0.05</v>
      </c>
      <c r="AT61" s="74">
        <f>SUM(AT59:AT60)</f>
        <v>7.5</v>
      </c>
      <c r="AU61" s="75" t="s">
        <v>31</v>
      </c>
      <c r="AV61" s="300">
        <f>SUM(AV59:AV60)</f>
        <v>6</v>
      </c>
      <c r="AW61" s="301">
        <f>AV61/($F62*$G55)</f>
        <v>6.8352699931647304E-2</v>
      </c>
      <c r="AX61" s="308" t="s">
        <v>31</v>
      </c>
      <c r="AY61" s="299"/>
      <c r="AZ61" s="97">
        <f>SUM(AZ59:AZ60)</f>
        <v>44.999999999999993</v>
      </c>
      <c r="BA61" s="75" t="s">
        <v>31</v>
      </c>
      <c r="BB61" s="325">
        <f>SUM(BB59:BB60)</f>
        <v>38</v>
      </c>
      <c r="BC61" s="295">
        <f>(BB61*BB58/1000)/($F62*$G55)</f>
        <v>2.5974025974025972E-2</v>
      </c>
      <c r="BD61" s="298" t="s">
        <v>31</v>
      </c>
      <c r="BE61" s="299">
        <f>+BF61/$G54</f>
        <v>4.2000000000000003E-2</v>
      </c>
      <c r="BF61" s="74">
        <f>SUM(BF59:BF60)</f>
        <v>6.3000000000000007</v>
      </c>
      <c r="BG61" s="75" t="s">
        <v>31</v>
      </c>
      <c r="BH61" s="300">
        <f>SUM(BH59:BH60)</f>
        <v>6</v>
      </c>
      <c r="BI61" s="76">
        <f>BH61/($F62*$G55)</f>
        <v>6.8352699931647304E-2</v>
      </c>
    </row>
    <row r="62" spans="1:61" ht="17.25" customHeight="1">
      <c r="A62" s="103"/>
      <c r="B62" s="545" t="s">
        <v>159</v>
      </c>
      <c r="C62" s="431"/>
      <c r="D62" s="431"/>
      <c r="E62" s="432"/>
      <c r="F62" s="546">
        <f>(L56+L61+R56+X56+AD56+AJ56+AP56+AV56+AV61+BB61*BB58/1000+BB56+BH56+BH61)/G55</f>
        <v>0.58520000000000005</v>
      </c>
      <c r="G62" s="435"/>
      <c r="H62" s="302" t="str">
        <f>VLOOKUP(H58,Plancha2!A:M,2,FALSE())</f>
        <v>Lamelle encornet</v>
      </c>
      <c r="I62" s="82"/>
      <c r="J62" s="78"/>
      <c r="K62" s="78"/>
      <c r="L62" s="529">
        <f>J61</f>
        <v>6.3000000000000007</v>
      </c>
      <c r="M62" s="475"/>
      <c r="N62" s="304">
        <f>VLOOKUP(N53,Friteuse!A:M,12,FALSE())</f>
        <v>0</v>
      </c>
      <c r="O62" s="306"/>
      <c r="P62" s="306"/>
      <c r="Q62" s="306"/>
      <c r="R62" s="542">
        <f>VLOOKUP(N53,Friteuse!A:M,13,FALSE())*P56</f>
        <v>0</v>
      </c>
      <c r="S62" s="435"/>
      <c r="T62" s="302">
        <f>VLOOKUP(T53,Wok!A:M,12,FALSE())</f>
        <v>0</v>
      </c>
      <c r="U62" s="309"/>
      <c r="V62" s="309"/>
      <c r="W62" s="309"/>
      <c r="X62" s="542">
        <f>VLOOKUP(T53,Wok!A:M,13,FALSE())*V56</f>
        <v>0</v>
      </c>
      <c r="Y62" s="435"/>
      <c r="Z62" s="302">
        <f>VLOOKUP(Z53,Poele!A:M,12,FALSE())</f>
        <v>0</v>
      </c>
      <c r="AA62" s="309"/>
      <c r="AB62" s="309"/>
      <c r="AC62" s="309"/>
      <c r="AD62" s="542">
        <f>VLOOKUP(Z53,Poele!A:M,13,FALSE())*AB56</f>
        <v>0</v>
      </c>
      <c r="AE62" s="435"/>
      <c r="AF62" s="302" t="str">
        <f>VLOOKUP(AF53,Four!A:M,12,FALSE())</f>
        <v>Oignons</v>
      </c>
      <c r="AG62" s="309"/>
      <c r="AH62" s="309"/>
      <c r="AI62" s="309"/>
      <c r="AJ62" s="542">
        <f>VLOOKUP(AF53,Four!A:M,13,FALSE())*AH56</f>
        <v>0.54</v>
      </c>
      <c r="AK62" s="435"/>
      <c r="AL62" s="302" t="str">
        <f>VLOOKUP(AL53,Four!A:M,12,FALSE())</f>
        <v>Estrèmo</v>
      </c>
      <c r="AM62" s="309"/>
      <c r="AN62" s="309"/>
      <c r="AO62" s="309"/>
      <c r="AP62" s="542">
        <f>VLOOKUP(AL53,Four!A:M,13,FALSE())*AN56</f>
        <v>0.19500000000000001</v>
      </c>
      <c r="AQ62" s="435"/>
      <c r="AR62" s="310" t="s">
        <v>74</v>
      </c>
      <c r="AS62" s="82"/>
      <c r="AT62" s="78"/>
      <c r="AU62" s="78"/>
      <c r="AV62" s="529">
        <f>AT61</f>
        <v>7.5</v>
      </c>
      <c r="AW62" s="475"/>
      <c r="AX62" s="538" t="s">
        <v>75</v>
      </c>
      <c r="AY62" s="461"/>
      <c r="AZ62" s="461"/>
      <c r="BA62" s="311"/>
      <c r="BB62" s="529">
        <f>AZ61*(BB58/1000)</f>
        <v>2.6999999999999993</v>
      </c>
      <c r="BC62" s="475"/>
      <c r="BD62" s="543" t="s">
        <v>115</v>
      </c>
      <c r="BE62" s="461"/>
      <c r="BF62" s="461"/>
      <c r="BG62" s="311"/>
      <c r="BH62" s="529">
        <f>BF61</f>
        <v>6.3000000000000007</v>
      </c>
      <c r="BI62" s="503"/>
    </row>
    <row r="63" spans="1:61" ht="17.25" customHeight="1">
      <c r="A63" s="55">
        <f>A53+1</f>
        <v>45312</v>
      </c>
      <c r="B63" s="547" t="s">
        <v>8</v>
      </c>
      <c r="C63" s="432"/>
      <c r="D63" s="547" t="s">
        <v>9</v>
      </c>
      <c r="E63" s="432"/>
      <c r="F63" s="317" t="s">
        <v>10</v>
      </c>
      <c r="G63" s="318"/>
      <c r="H63" s="521" t="s">
        <v>223</v>
      </c>
      <c r="I63" s="431"/>
      <c r="J63" s="431"/>
      <c r="K63" s="431"/>
      <c r="L63" s="431"/>
      <c r="M63" s="432"/>
      <c r="N63" s="522" t="s">
        <v>197</v>
      </c>
      <c r="O63" s="431"/>
      <c r="P63" s="431"/>
      <c r="Q63" s="431"/>
      <c r="R63" s="431"/>
      <c r="S63" s="432"/>
      <c r="T63" s="523" t="s">
        <v>265</v>
      </c>
      <c r="U63" s="431"/>
      <c r="V63" s="431"/>
      <c r="W63" s="431"/>
      <c r="X63" s="431"/>
      <c r="Y63" s="432"/>
      <c r="Z63" s="523" t="s">
        <v>264</v>
      </c>
      <c r="AA63" s="431"/>
      <c r="AB63" s="431"/>
      <c r="AC63" s="431"/>
      <c r="AD63" s="431"/>
      <c r="AE63" s="432"/>
      <c r="AF63" s="519" t="s">
        <v>277</v>
      </c>
      <c r="AG63" s="431"/>
      <c r="AH63" s="431"/>
      <c r="AI63" s="431"/>
      <c r="AJ63" s="431"/>
      <c r="AK63" s="432"/>
      <c r="AL63" s="519" t="s">
        <v>239</v>
      </c>
      <c r="AM63" s="431"/>
      <c r="AN63" s="431"/>
      <c r="AO63" s="431"/>
      <c r="AP63" s="431"/>
      <c r="AQ63" s="432"/>
      <c r="AR63" s="481" t="s">
        <v>18</v>
      </c>
      <c r="AS63" s="431"/>
      <c r="AT63" s="431"/>
      <c r="AU63" s="431"/>
      <c r="AV63" s="431"/>
      <c r="AW63" s="432"/>
      <c r="AX63" s="482" t="s">
        <v>154</v>
      </c>
      <c r="AY63" s="434"/>
      <c r="AZ63" s="434"/>
      <c r="BA63" s="434"/>
      <c r="BB63" s="434"/>
      <c r="BC63" s="435"/>
      <c r="BD63" s="483" t="s">
        <v>155</v>
      </c>
      <c r="BE63" s="431"/>
      <c r="BF63" s="431"/>
      <c r="BG63" s="431"/>
      <c r="BH63" s="431"/>
      <c r="BI63" s="484"/>
    </row>
    <row r="64" spans="1:61" ht="17.25" customHeight="1">
      <c r="A64" s="87" t="s">
        <v>45</v>
      </c>
      <c r="B64" s="270" t="s">
        <v>22</v>
      </c>
      <c r="C64" s="271">
        <v>100</v>
      </c>
      <c r="D64" s="270" t="s">
        <v>22</v>
      </c>
      <c r="E64" s="272">
        <v>50</v>
      </c>
      <c r="F64" s="270" t="s">
        <v>22</v>
      </c>
      <c r="G64" s="56">
        <f t="shared" ref="G64:G65" si="6">+C64+E64</f>
        <v>150</v>
      </c>
      <c r="H64" s="276" t="s">
        <v>23</v>
      </c>
      <c r="I64" s="62">
        <v>0.05</v>
      </c>
      <c r="J64" s="63">
        <f>+I64*$C64*$F69</f>
        <v>3</v>
      </c>
      <c r="K64" s="276" t="s">
        <v>24</v>
      </c>
      <c r="L64" s="64">
        <v>3</v>
      </c>
      <c r="M64" s="277">
        <f>L64/($F72*$C65)</f>
        <v>5.1264524948735471E-2</v>
      </c>
      <c r="N64" s="273" t="s">
        <v>23</v>
      </c>
      <c r="O64" s="57">
        <v>0.01</v>
      </c>
      <c r="P64" s="58">
        <f>+O64*$C64*$F69</f>
        <v>0.6</v>
      </c>
      <c r="Q64" s="273" t="s">
        <v>24</v>
      </c>
      <c r="R64" s="84">
        <v>0.5</v>
      </c>
      <c r="S64" s="313">
        <f>R64/($F72*$C65)</f>
        <v>8.5440874914559112E-3</v>
      </c>
      <c r="T64" s="274" t="s">
        <v>23</v>
      </c>
      <c r="U64" s="60">
        <v>0.05</v>
      </c>
      <c r="V64" s="61">
        <f>+U64*$C64*$F69</f>
        <v>3</v>
      </c>
      <c r="W64" s="274" t="s">
        <v>24</v>
      </c>
      <c r="X64" s="59">
        <v>3</v>
      </c>
      <c r="Y64" s="275">
        <f>X64/($F72*$C65)</f>
        <v>5.1264524948735471E-2</v>
      </c>
      <c r="Z64" s="274" t="s">
        <v>23</v>
      </c>
      <c r="AA64" s="60">
        <v>0.03</v>
      </c>
      <c r="AB64" s="61">
        <f>+AA64*$C64*$F69</f>
        <v>1.7999999999999998</v>
      </c>
      <c r="AC64" s="274" t="s">
        <v>24</v>
      </c>
      <c r="AD64" s="59">
        <v>2</v>
      </c>
      <c r="AE64" s="275">
        <f>AD64/($F72*$C65)</f>
        <v>3.4176349965823645E-2</v>
      </c>
      <c r="AF64" s="274" t="s">
        <v>23</v>
      </c>
      <c r="AG64" s="60">
        <v>0.1</v>
      </c>
      <c r="AH64" s="61">
        <f>+AG64*$C64*$F69</f>
        <v>6</v>
      </c>
      <c r="AI64" s="274" t="s">
        <v>24</v>
      </c>
      <c r="AJ64" s="59">
        <v>6</v>
      </c>
      <c r="AK64" s="275">
        <f>AJ64/($F72*$C65)</f>
        <v>0.10252904989747094</v>
      </c>
      <c r="AL64" s="274" t="s">
        <v>23</v>
      </c>
      <c r="AM64" s="60">
        <v>0.05</v>
      </c>
      <c r="AN64" s="61">
        <f>+AM64*$C64*$F69</f>
        <v>3</v>
      </c>
      <c r="AO64" s="274" t="s">
        <v>24</v>
      </c>
      <c r="AP64" s="59">
        <v>3</v>
      </c>
      <c r="AQ64" s="275">
        <f>AP64/($F72*$C65)</f>
        <v>5.1264524948735471E-2</v>
      </c>
      <c r="AR64" s="276" t="s">
        <v>23</v>
      </c>
      <c r="AS64" s="62">
        <v>0.08</v>
      </c>
      <c r="AT64" s="63">
        <f>+AS64*$C64*$F69</f>
        <v>4.8</v>
      </c>
      <c r="AU64" s="276" t="s">
        <v>24</v>
      </c>
      <c r="AV64" s="64">
        <v>4</v>
      </c>
      <c r="AW64" s="277">
        <f>AV64/($F72*$C65)</f>
        <v>6.835269993164729E-2</v>
      </c>
      <c r="AX64" s="276" t="s">
        <v>23</v>
      </c>
      <c r="AY64" s="62">
        <v>0.43</v>
      </c>
      <c r="AZ64" s="63">
        <f>+AY64*$C64*$F69</f>
        <v>25.8</v>
      </c>
      <c r="BA64" s="276" t="s">
        <v>24</v>
      </c>
      <c r="BB64" s="64">
        <v>25</v>
      </c>
      <c r="BC64" s="277">
        <f>BB64/($F72*$C65)</f>
        <v>0.42720437457279559</v>
      </c>
      <c r="BD64" s="276" t="s">
        <v>23</v>
      </c>
      <c r="BE64" s="62">
        <v>0.02</v>
      </c>
      <c r="BF64" s="63">
        <f>+BE64*$C64*$F69</f>
        <v>1.2</v>
      </c>
      <c r="BG64" s="276" t="s">
        <v>24</v>
      </c>
      <c r="BH64" s="64">
        <v>1</v>
      </c>
      <c r="BI64" s="65">
        <f>BH64/($F72*$C65)</f>
        <v>1.7088174982911822E-2</v>
      </c>
    </row>
    <row r="65" spans="1:61" ht="17.25" customHeight="1">
      <c r="A65" s="88" t="s">
        <v>56</v>
      </c>
      <c r="B65" s="266" t="s">
        <v>26</v>
      </c>
      <c r="C65" s="66">
        <v>100</v>
      </c>
      <c r="D65" s="266" t="s">
        <v>26</v>
      </c>
      <c r="E65" s="67">
        <v>50</v>
      </c>
      <c r="F65" s="266" t="s">
        <v>26</v>
      </c>
      <c r="G65" s="279">
        <f t="shared" si="6"/>
        <v>150</v>
      </c>
      <c r="H65" s="70" t="s">
        <v>27</v>
      </c>
      <c r="I65" s="286">
        <v>0.03</v>
      </c>
      <c r="J65" s="287">
        <f>+I65*$E64*$F69</f>
        <v>0.89999999999999991</v>
      </c>
      <c r="K65" s="70" t="s">
        <v>28</v>
      </c>
      <c r="L65" s="288">
        <v>1</v>
      </c>
      <c r="M65" s="289">
        <f>L65/($F72*$E65)</f>
        <v>3.4176349965823645E-2</v>
      </c>
      <c r="N65" s="68" t="s">
        <v>27</v>
      </c>
      <c r="O65" s="280">
        <v>0.02</v>
      </c>
      <c r="P65" s="281">
        <f>+O65*$E64*$F69</f>
        <v>0.6</v>
      </c>
      <c r="Q65" s="68" t="s">
        <v>28</v>
      </c>
      <c r="R65" s="314">
        <v>0.5</v>
      </c>
      <c r="S65" s="315">
        <f>R65/($F72*$E65)</f>
        <v>1.7088174982911822E-2</v>
      </c>
      <c r="T65" s="69" t="s">
        <v>27</v>
      </c>
      <c r="U65" s="284">
        <v>0.03</v>
      </c>
      <c r="V65" s="285">
        <f>+U65*$E64*$F69</f>
        <v>0.89999999999999991</v>
      </c>
      <c r="W65" s="69" t="s">
        <v>28</v>
      </c>
      <c r="X65" s="282">
        <v>1</v>
      </c>
      <c r="Y65" s="283">
        <f>X65/($F72*$E65)</f>
        <v>3.4176349965823645E-2</v>
      </c>
      <c r="Z65" s="69" t="s">
        <v>27</v>
      </c>
      <c r="AA65" s="284">
        <v>0.03</v>
      </c>
      <c r="AB65" s="285">
        <f>+AA65*$E64*$F69</f>
        <v>0.89999999999999991</v>
      </c>
      <c r="AC65" s="69" t="s">
        <v>28</v>
      </c>
      <c r="AD65" s="282">
        <v>1</v>
      </c>
      <c r="AE65" s="283">
        <f>AD65/($F72*$E65)</f>
        <v>3.4176349965823645E-2</v>
      </c>
      <c r="AF65" s="69" t="s">
        <v>27</v>
      </c>
      <c r="AG65" s="284">
        <v>0.1</v>
      </c>
      <c r="AH65" s="285">
        <f>+AG65*$E64*$F69</f>
        <v>3</v>
      </c>
      <c r="AI65" s="69" t="s">
        <v>28</v>
      </c>
      <c r="AJ65" s="282">
        <v>3</v>
      </c>
      <c r="AK65" s="283">
        <f>AJ65/($F72*$E65)</f>
        <v>0.10252904989747094</v>
      </c>
      <c r="AL65" s="69" t="s">
        <v>27</v>
      </c>
      <c r="AM65" s="284">
        <v>0.03</v>
      </c>
      <c r="AN65" s="285">
        <f>+AM65*$E64*$F69</f>
        <v>0.89999999999999991</v>
      </c>
      <c r="AO65" s="69" t="s">
        <v>28</v>
      </c>
      <c r="AP65" s="282">
        <v>1</v>
      </c>
      <c r="AQ65" s="283">
        <f>AP65/($F72*$E65)</f>
        <v>3.4176349965823645E-2</v>
      </c>
      <c r="AR65" s="70" t="s">
        <v>27</v>
      </c>
      <c r="AS65" s="286">
        <v>0.09</v>
      </c>
      <c r="AT65" s="287">
        <f>+AS65*$E64*$F69</f>
        <v>2.6999999999999997</v>
      </c>
      <c r="AU65" s="70" t="s">
        <v>28</v>
      </c>
      <c r="AV65" s="288">
        <v>2</v>
      </c>
      <c r="AW65" s="289">
        <f>AV65/($F72*$E65)</f>
        <v>6.835269993164729E-2</v>
      </c>
      <c r="AX65" s="70" t="s">
        <v>27</v>
      </c>
      <c r="AY65" s="286">
        <v>0.34</v>
      </c>
      <c r="AZ65" s="287">
        <f>+AY65*$E64*$F69</f>
        <v>10.199999999999999</v>
      </c>
      <c r="BA65" s="70" t="s">
        <v>28</v>
      </c>
      <c r="BB65" s="288">
        <v>10</v>
      </c>
      <c r="BC65" s="289">
        <f>BB65/($F72*$E65)</f>
        <v>0.34176349965823649</v>
      </c>
      <c r="BD65" s="70" t="s">
        <v>27</v>
      </c>
      <c r="BE65" s="286">
        <v>0.02</v>
      </c>
      <c r="BF65" s="287">
        <f>+BE65*$E64*$F69</f>
        <v>0.6</v>
      </c>
      <c r="BG65" s="70" t="s">
        <v>28</v>
      </c>
      <c r="BH65" s="288">
        <v>0.5</v>
      </c>
      <c r="BI65" s="290">
        <f>BH65/($F72*$E65)</f>
        <v>1.7088174982911822E-2</v>
      </c>
    </row>
    <row r="66" spans="1:61" ht="17.25" customHeight="1">
      <c r="A66" s="89" t="s">
        <v>79</v>
      </c>
      <c r="B66" s="532" t="s">
        <v>30</v>
      </c>
      <c r="C66" s="454"/>
      <c r="D66" s="455"/>
      <c r="E66" s="533">
        <f>(I64+O64+U64+AA64+AG64+AM64+AS64+AY64+BE64+BE69+AY69+AS69+I69)/2</f>
        <v>0.53500000000000014</v>
      </c>
      <c r="F66" s="457"/>
      <c r="G66" s="534">
        <f>(E66+E67)</f>
        <v>1.0100000000000002</v>
      </c>
      <c r="H66" s="298" t="s">
        <v>31</v>
      </c>
      <c r="I66" s="299">
        <f>+J66/$G64</f>
        <v>2.5999999999999999E-2</v>
      </c>
      <c r="J66" s="74">
        <f>SUM(J64:J65)</f>
        <v>3.9</v>
      </c>
      <c r="K66" s="75" t="s">
        <v>31</v>
      </c>
      <c r="L66" s="300">
        <f>SUM(L64:L65)</f>
        <v>4</v>
      </c>
      <c r="M66" s="301">
        <f>L66/($F72*$G65)</f>
        <v>4.5568466621098203E-2</v>
      </c>
      <c r="N66" s="292" t="s">
        <v>31</v>
      </c>
      <c r="O66" s="293">
        <f>+P66/$G64</f>
        <v>8.0000000000000002E-3</v>
      </c>
      <c r="P66" s="71">
        <f>SUM(P64:P65)</f>
        <v>1.2</v>
      </c>
      <c r="Q66" s="85" t="s">
        <v>31</v>
      </c>
      <c r="R66" s="316">
        <f>SUM(R64:R65)</f>
        <v>1</v>
      </c>
      <c r="S66" s="295">
        <f>R66/($F72*$G65)</f>
        <v>1.1392116655274551E-2</v>
      </c>
      <c r="T66" s="296" t="s">
        <v>31</v>
      </c>
      <c r="U66" s="297">
        <f>+V66/$G64</f>
        <v>2.5999999999999999E-2</v>
      </c>
      <c r="V66" s="73">
        <f>SUM(V64:V65)</f>
        <v>3.9</v>
      </c>
      <c r="W66" s="72" t="s">
        <v>31</v>
      </c>
      <c r="X66" s="294">
        <f>SUM(X64:X65)</f>
        <v>4</v>
      </c>
      <c r="Y66" s="295">
        <f>X66/($F72*$G65)</f>
        <v>4.5568466621098203E-2</v>
      </c>
      <c r="Z66" s="296" t="s">
        <v>31</v>
      </c>
      <c r="AA66" s="297">
        <f>+AB66/$G64</f>
        <v>1.7999999999999999E-2</v>
      </c>
      <c r="AB66" s="73">
        <f>SUM(AB64:AB65)</f>
        <v>2.6999999999999997</v>
      </c>
      <c r="AC66" s="72" t="s">
        <v>31</v>
      </c>
      <c r="AD66" s="294">
        <f>SUM(AD64:AD65)</f>
        <v>3</v>
      </c>
      <c r="AE66" s="295">
        <f>AD66/($F72*$G65)</f>
        <v>3.4176349965823652E-2</v>
      </c>
      <c r="AF66" s="296" t="s">
        <v>31</v>
      </c>
      <c r="AG66" s="297">
        <f>+AH66/$G64</f>
        <v>0.06</v>
      </c>
      <c r="AH66" s="73">
        <f>SUM(AH64:AH65)</f>
        <v>9</v>
      </c>
      <c r="AI66" s="72" t="s">
        <v>31</v>
      </c>
      <c r="AJ66" s="294">
        <f>SUM(AJ64:AJ65)</f>
        <v>9</v>
      </c>
      <c r="AK66" s="295">
        <f>AJ66/($F72*$G65)</f>
        <v>0.10252904989747094</v>
      </c>
      <c r="AL66" s="296" t="s">
        <v>31</v>
      </c>
      <c r="AM66" s="297">
        <f>+AN66/$G64</f>
        <v>2.5999999999999999E-2</v>
      </c>
      <c r="AN66" s="73">
        <f>SUM(AN64:AN65)</f>
        <v>3.9</v>
      </c>
      <c r="AO66" s="72" t="s">
        <v>31</v>
      </c>
      <c r="AP66" s="294">
        <f>SUM(AP64:AP65)</f>
        <v>4</v>
      </c>
      <c r="AQ66" s="295">
        <f>AP66/($F72*$G65)</f>
        <v>4.5568466621098203E-2</v>
      </c>
      <c r="AR66" s="298" t="s">
        <v>31</v>
      </c>
      <c r="AS66" s="299">
        <f>+AT66/$G64</f>
        <v>0.05</v>
      </c>
      <c r="AT66" s="74">
        <f>SUM(AT64:AT65)</f>
        <v>7.5</v>
      </c>
      <c r="AU66" s="75" t="s">
        <v>31</v>
      </c>
      <c r="AV66" s="300">
        <f>SUM(AV64:AV65)</f>
        <v>6</v>
      </c>
      <c r="AW66" s="301">
        <f>AV66/($F72*$G65)</f>
        <v>6.8352699931647304E-2</v>
      </c>
      <c r="AX66" s="298" t="s">
        <v>31</v>
      </c>
      <c r="AY66" s="299">
        <f>+AZ66/$G64</f>
        <v>0.24</v>
      </c>
      <c r="AZ66" s="74">
        <f>SUM(AZ64:AZ65)</f>
        <v>36</v>
      </c>
      <c r="BA66" s="75" t="s">
        <v>31</v>
      </c>
      <c r="BB66" s="300">
        <f>SUM(BB64:BB65)</f>
        <v>35</v>
      </c>
      <c r="BC66" s="301">
        <f>BB66/($F72*$G65)</f>
        <v>0.39872408293460926</v>
      </c>
      <c r="BD66" s="298" t="s">
        <v>31</v>
      </c>
      <c r="BE66" s="299">
        <f>+BF66/$G64</f>
        <v>1.1999999999999999E-2</v>
      </c>
      <c r="BF66" s="74">
        <f>SUM(BF64:BF65)</f>
        <v>1.7999999999999998</v>
      </c>
      <c r="BG66" s="75" t="s">
        <v>31</v>
      </c>
      <c r="BH66" s="300">
        <f>SUM(BH64:BH65)</f>
        <v>1.5</v>
      </c>
      <c r="BI66" s="76">
        <f>BH66/($F72*$G65)</f>
        <v>1.7088174982911826E-2</v>
      </c>
    </row>
    <row r="67" spans="1:61" ht="17.25" customHeight="1">
      <c r="A67" s="89" t="s">
        <v>80</v>
      </c>
      <c r="B67" s="535" t="s">
        <v>34</v>
      </c>
      <c r="C67" s="461"/>
      <c r="D67" s="462"/>
      <c r="E67" s="536">
        <f>(I65+O65+U65+AA65+AG65+AM65+AS65+AY65+BE65+AS70+AY70+BE70+I70)/2</f>
        <v>0.47500000000000009</v>
      </c>
      <c r="F67" s="464"/>
      <c r="G67" s="459"/>
      <c r="H67" s="537" t="str">
        <f>VLOOKUP(H63,Plancha2!A:M,2,FALSE())</f>
        <v>Ingr1</v>
      </c>
      <c r="I67" s="474"/>
      <c r="J67" s="474"/>
      <c r="K67" s="306"/>
      <c r="L67" s="529">
        <f>J66</f>
        <v>3.9</v>
      </c>
      <c r="M67" s="475"/>
      <c r="N67" s="304" t="str">
        <f>VLOOKUP(N63,Friteuse!A:M,2,FALSE())</f>
        <v>Aiguilette</v>
      </c>
      <c r="O67" s="305"/>
      <c r="P67" s="305"/>
      <c r="Q67" s="77"/>
      <c r="R67" s="529">
        <f>VLOOKUP(N63,Friteuse!A:M,3,FALSE())*P66</f>
        <v>1.032</v>
      </c>
      <c r="S67" s="475"/>
      <c r="T67" s="302" t="str">
        <f>VLOOKUP(T63,Wok!A:M,2,FALSE())</f>
        <v>Butternut</v>
      </c>
      <c r="U67" s="303"/>
      <c r="V67" s="303"/>
      <c r="W67" s="77"/>
      <c r="X67" s="529">
        <f>VLOOKUP(T63,Wok!A:M,3,FALSE())*V66</f>
        <v>3.51</v>
      </c>
      <c r="Y67" s="475"/>
      <c r="Z67" s="302" t="str">
        <f>VLOOKUP(Z63,Poele!A:M,2,FALSE())</f>
        <v>Saumon filet</v>
      </c>
      <c r="AA67" s="303"/>
      <c r="AB67" s="303"/>
      <c r="AC67" s="77"/>
      <c r="AD67" s="529">
        <f>VLOOKUP(Z63,Poele!A:M,3,FALSE())*AB66</f>
        <v>2.0789999999999997</v>
      </c>
      <c r="AE67" s="475"/>
      <c r="AF67" s="302" t="str">
        <f>VLOOKUP(AF63,Four!A:M,2,FALSE())</f>
        <v>Dinde sauté</v>
      </c>
      <c r="AG67" s="303"/>
      <c r="AH67" s="303"/>
      <c r="AI67" s="77"/>
      <c r="AJ67" s="529">
        <f>VLOOKUP(AF63,Four!A:M,3,FALSE())*AH66</f>
        <v>6.03</v>
      </c>
      <c r="AK67" s="475"/>
      <c r="AL67" s="302" t="str">
        <f>VLOOKUP(AL63,Four!A:M,2,FALSE())</f>
        <v>Boudin noir</v>
      </c>
      <c r="AM67" s="303"/>
      <c r="AN67" s="303"/>
      <c r="AO67" s="77"/>
      <c r="AP67" s="529">
        <f>VLOOKUP(AL63,Four!A:M,3,FALSE())*AN66</f>
        <v>2.1059999999999999</v>
      </c>
      <c r="AQ67" s="475"/>
      <c r="AR67" s="538" t="s">
        <v>42</v>
      </c>
      <c r="AS67" s="461"/>
      <c r="AT67" s="461"/>
      <c r="AU67" s="306"/>
      <c r="AV67" s="529">
        <f>AT66</f>
        <v>7.5</v>
      </c>
      <c r="AW67" s="475"/>
      <c r="AX67" s="528" t="s">
        <v>156</v>
      </c>
      <c r="AY67" s="471"/>
      <c r="AZ67" s="471"/>
      <c r="BA67" s="78"/>
      <c r="BB67" s="529">
        <f>AZ66</f>
        <v>36</v>
      </c>
      <c r="BC67" s="475"/>
      <c r="BD67" s="528" t="s">
        <v>157</v>
      </c>
      <c r="BE67" s="471"/>
      <c r="BF67" s="471"/>
      <c r="BG67" s="78"/>
      <c r="BH67" s="529">
        <f>BF66</f>
        <v>1.7999999999999998</v>
      </c>
      <c r="BI67" s="503"/>
    </row>
    <row r="68" spans="1:61" ht="17.25" customHeight="1">
      <c r="A68" s="89" t="s">
        <v>33</v>
      </c>
      <c r="B68" s="539" t="s">
        <v>46</v>
      </c>
      <c r="C68" s="445"/>
      <c r="D68" s="517"/>
      <c r="E68" s="540">
        <f>(L66+R66+X66+AD66+AJ66+AP66+AV66+BB66+BH66+BH71+(BB71*BB68/1000)+L71+AV71)/(G65*F72)</f>
        <v>1</v>
      </c>
      <c r="F68" s="474"/>
      <c r="G68" s="475"/>
      <c r="H68" s="521" t="s">
        <v>160</v>
      </c>
      <c r="I68" s="431"/>
      <c r="J68" s="431"/>
      <c r="K68" s="431"/>
      <c r="L68" s="431"/>
      <c r="M68" s="432"/>
      <c r="N68" s="304" t="str">
        <f>VLOOKUP(N63,Friteuse!A:M,4,FALSE())</f>
        <v>Creme</v>
      </c>
      <c r="O68" s="79"/>
      <c r="P68" s="79"/>
      <c r="Q68" s="79"/>
      <c r="R68" s="530">
        <f>VLOOKUP(N63,Friteuse!A:M,5,FALSE())*P66</f>
        <v>1.2E-2</v>
      </c>
      <c r="S68" s="475"/>
      <c r="T68" s="302" t="str">
        <f>VLOOKUP(T63,Wok!A:M,4,FALSE())</f>
        <v>Huile</v>
      </c>
      <c r="U68" s="77"/>
      <c r="V68" s="77"/>
      <c r="W68" s="77"/>
      <c r="X68" s="530">
        <f>VLOOKUP(T63,Wok!A:M,5,FALSE())*V66</f>
        <v>0.19500000000000001</v>
      </c>
      <c r="Y68" s="475"/>
      <c r="Z68" s="302" t="str">
        <f>VLOOKUP(Z63,Poele!A:M,4,FALSE())</f>
        <v>Poireaux</v>
      </c>
      <c r="AA68" s="77"/>
      <c r="AB68" s="77"/>
      <c r="AC68" s="77"/>
      <c r="AD68" s="530">
        <f>VLOOKUP(Z63,Poele!A:M,5,FALSE())*AB66</f>
        <v>0.40499999999999997</v>
      </c>
      <c r="AE68" s="475"/>
      <c r="AF68" s="302" t="str">
        <f>VLOOKUP(AF63,Four!A:M,4,FALSE())</f>
        <v>Carottes</v>
      </c>
      <c r="AG68" s="77"/>
      <c r="AH68" s="77"/>
      <c r="AI68" s="77"/>
      <c r="AJ68" s="530">
        <f>VLOOKUP(AF63,Four!A:M,5,FALSE())*AH66</f>
        <v>0.54</v>
      </c>
      <c r="AK68" s="475"/>
      <c r="AL68" s="302" t="str">
        <f>VLOOKUP(AL63,Four!A:M,4,FALSE())</f>
        <v>Pommes Golden</v>
      </c>
      <c r="AM68" s="77"/>
      <c r="AN68" s="77"/>
      <c r="AO68" s="77"/>
      <c r="AP68" s="530">
        <f>VLOOKUP(AL63,Four!A:M,5,FALSE())*AN66</f>
        <v>1.365</v>
      </c>
      <c r="AQ68" s="475"/>
      <c r="AR68" s="481" t="s">
        <v>54</v>
      </c>
      <c r="AS68" s="431"/>
      <c r="AT68" s="431"/>
      <c r="AU68" s="431"/>
      <c r="AV68" s="431"/>
      <c r="AW68" s="432"/>
      <c r="AX68" s="481" t="s">
        <v>55</v>
      </c>
      <c r="AY68" s="431"/>
      <c r="AZ68" s="431"/>
      <c r="BA68" s="431"/>
      <c r="BB68" s="531">
        <v>60</v>
      </c>
      <c r="BC68" s="432"/>
      <c r="BD68" s="483" t="s">
        <v>269</v>
      </c>
      <c r="BE68" s="431"/>
      <c r="BF68" s="431"/>
      <c r="BG68" s="431"/>
      <c r="BH68" s="431"/>
      <c r="BI68" s="484"/>
    </row>
    <row r="69" spans="1:61" ht="17.25" customHeight="1">
      <c r="A69" s="89" t="s">
        <v>95</v>
      </c>
      <c r="B69" s="513" t="s">
        <v>158</v>
      </c>
      <c r="C69" s="445"/>
      <c r="D69" s="445"/>
      <c r="E69" s="445"/>
      <c r="F69" s="541">
        <v>0.6</v>
      </c>
      <c r="G69" s="446"/>
      <c r="H69" s="276" t="s">
        <v>23</v>
      </c>
      <c r="I69" s="62">
        <v>7.0000000000000007E-2</v>
      </c>
      <c r="J69" s="63">
        <f>+I69*$C64*$F$9</f>
        <v>4.2</v>
      </c>
      <c r="K69" s="276" t="s">
        <v>24</v>
      </c>
      <c r="L69" s="64">
        <v>4</v>
      </c>
      <c r="M69" s="277">
        <f>L69/($F72*$C65)</f>
        <v>6.835269993164729E-2</v>
      </c>
      <c r="N69" s="304" t="str">
        <f>VLOOKUP(N63,Friteuse!A:M,6,FALSE())</f>
        <v>Tandoori</v>
      </c>
      <c r="O69" s="79"/>
      <c r="P69" s="79"/>
      <c r="Q69" s="79"/>
      <c r="R69" s="530">
        <f>VLOOKUP(N63,Friteuse!A:M,7,FALSE())*P66</f>
        <v>1.7999999999999999E-2</v>
      </c>
      <c r="S69" s="475"/>
      <c r="T69" s="302" t="str">
        <f>VLOOKUP(T63,Wok!A:M,6,FALSE())</f>
        <v>Curry</v>
      </c>
      <c r="U69" s="77"/>
      <c r="V69" s="77"/>
      <c r="W69" s="77"/>
      <c r="X69" s="530">
        <f>VLOOKUP(T63,Wok!A:M,7,FALSE())*V66</f>
        <v>3.9E-2</v>
      </c>
      <c r="Y69" s="475"/>
      <c r="Z69" s="302" t="str">
        <f>VLOOKUP(Z63,Poele!A:M,6,FALSE())</f>
        <v>Créman</v>
      </c>
      <c r="AA69" s="77"/>
      <c r="AB69" s="77"/>
      <c r="AC69" s="77"/>
      <c r="AD69" s="530">
        <f>VLOOKUP(Z63,Poele!A:M,7,FALSE())*AB66</f>
        <v>0.21599999999999997</v>
      </c>
      <c r="AE69" s="475"/>
      <c r="AF69" s="302" t="str">
        <f>VLOOKUP(AF63,Four!A:M,6,FALSE())</f>
        <v>Poireaux</v>
      </c>
      <c r="AG69" s="77"/>
      <c r="AH69" s="77"/>
      <c r="AI69" s="77"/>
      <c r="AJ69" s="530">
        <f>VLOOKUP(AF63,Four!A:M,7,FALSE())*AH66</f>
        <v>0.54</v>
      </c>
      <c r="AK69" s="475"/>
      <c r="AL69" s="302" t="str">
        <f>VLOOKUP(AL63,Four!A:M,6,FALSE())</f>
        <v>Echalotes</v>
      </c>
      <c r="AM69" s="77"/>
      <c r="AN69" s="77"/>
      <c r="AO69" s="77"/>
      <c r="AP69" s="530">
        <f>VLOOKUP(AL63,Four!A:M,7,FALSE())*AN66</f>
        <v>0.39</v>
      </c>
      <c r="AQ69" s="475"/>
      <c r="AR69" s="276" t="s">
        <v>23</v>
      </c>
      <c r="AS69" s="62">
        <v>0.08</v>
      </c>
      <c r="AT69" s="63">
        <f>+AS69*$C64*$F$9</f>
        <v>4.8</v>
      </c>
      <c r="AU69" s="276" t="s">
        <v>24</v>
      </c>
      <c r="AV69" s="64">
        <v>4</v>
      </c>
      <c r="AW69" s="277">
        <f>AV69/($F72*$C65)</f>
        <v>6.835269993164729E-2</v>
      </c>
      <c r="AX69" s="307" t="s">
        <v>23</v>
      </c>
      <c r="AY69" s="62">
        <v>0.03</v>
      </c>
      <c r="AZ69" s="95">
        <f>AY69*C64*F69/(BB68/1000)</f>
        <v>29.999999999999996</v>
      </c>
      <c r="BA69" s="276" t="s">
        <v>24</v>
      </c>
      <c r="BB69" s="96">
        <v>25</v>
      </c>
      <c r="BC69" s="313">
        <f>(BB69*BB68/1000)/($F72*$C65)</f>
        <v>2.5632262474367735E-2</v>
      </c>
      <c r="BD69" s="276" t="s">
        <v>23</v>
      </c>
      <c r="BE69" s="62">
        <v>7.0000000000000007E-2</v>
      </c>
      <c r="BF69" s="63">
        <f>+BE69*$C64*$F$9</f>
        <v>4.2</v>
      </c>
      <c r="BG69" s="276" t="s">
        <v>24</v>
      </c>
      <c r="BH69" s="64">
        <v>4</v>
      </c>
      <c r="BI69" s="65">
        <f>BH69/($F72*$C65)</f>
        <v>6.835269993164729E-2</v>
      </c>
    </row>
    <row r="70" spans="1:61" ht="17.25" customHeight="1">
      <c r="A70" s="89" t="s">
        <v>138</v>
      </c>
      <c r="B70" s="544" t="s">
        <v>178</v>
      </c>
      <c r="C70" s="445"/>
      <c r="D70" s="445"/>
      <c r="E70" s="446"/>
      <c r="F70" s="319">
        <f>(L64+R64+L69+X64+AD64+AJ64+AP64+AV64+AV69+BB64+BB69*(BB68/1000)+BH64+BH69)/C65</f>
        <v>0.61</v>
      </c>
      <c r="G70" s="320">
        <f>F70/(F70+F71)</f>
        <v>0.5324720670391061</v>
      </c>
      <c r="H70" s="70" t="s">
        <v>27</v>
      </c>
      <c r="I70" s="286">
        <v>7.0000000000000007E-2</v>
      </c>
      <c r="J70" s="287">
        <f>+I70*$E64*$F69</f>
        <v>2.1</v>
      </c>
      <c r="K70" s="70" t="s">
        <v>28</v>
      </c>
      <c r="L70" s="288">
        <v>2</v>
      </c>
      <c r="M70" s="289">
        <f>L70/($F72*$E65)</f>
        <v>6.835269993164729E-2</v>
      </c>
      <c r="N70" s="304" t="str">
        <f>VLOOKUP(N63,Friteuse!A:M,8,FALSE())</f>
        <v>Sel</v>
      </c>
      <c r="O70" s="79"/>
      <c r="P70" s="79"/>
      <c r="Q70" s="79"/>
      <c r="R70" s="530">
        <f>VLOOKUP(N63,Friteuse!A:M,9,FALSE())*P66</f>
        <v>1.7999999999999999E-2</v>
      </c>
      <c r="S70" s="475"/>
      <c r="T70" s="302" t="str">
        <f>VLOOKUP(T63,Wok!A:M,8,FALSE())</f>
        <v>Champignon</v>
      </c>
      <c r="U70" s="77"/>
      <c r="V70" s="77"/>
      <c r="W70" s="77"/>
      <c r="X70" s="530">
        <f>VLOOKUP(T63,Wok!A:M,9,FALSE())*V66</f>
        <v>0.19500000000000001</v>
      </c>
      <c r="Y70" s="475"/>
      <c r="Z70" s="302" t="str">
        <f>VLOOKUP(Z63,Poele!A:M,8,FALSE())</f>
        <v>Fumet poisson</v>
      </c>
      <c r="AA70" s="77"/>
      <c r="AB70" s="77"/>
      <c r="AC70" s="77"/>
      <c r="AD70" s="530">
        <f>VLOOKUP(Z63,Poele!A:M,9,FALSE())*AB66</f>
        <v>0</v>
      </c>
      <c r="AE70" s="475"/>
      <c r="AF70" s="302" t="str">
        <f>VLOOKUP(AF63,Four!A:M,8,FALSE())</f>
        <v>Celeri</v>
      </c>
      <c r="AG70" s="77"/>
      <c r="AH70" s="77"/>
      <c r="AI70" s="77"/>
      <c r="AJ70" s="530">
        <f>VLOOKUP(AF63,Four!A:M,9,FALSE())*AH66</f>
        <v>0.54</v>
      </c>
      <c r="AK70" s="475"/>
      <c r="AL70" s="302" t="str">
        <f>VLOOKUP(AL63,Four!A:M,8,FALSE())</f>
        <v>Sel</v>
      </c>
      <c r="AM70" s="77"/>
      <c r="AN70" s="77"/>
      <c r="AO70" s="77"/>
      <c r="AP70" s="530">
        <f>VLOOKUP(AL63,Four!A:M,9,FALSE())*AN66</f>
        <v>3.9E-2</v>
      </c>
      <c r="AQ70" s="475"/>
      <c r="AR70" s="70" t="s">
        <v>27</v>
      </c>
      <c r="AS70" s="286">
        <v>0.09</v>
      </c>
      <c r="AT70" s="287">
        <f>+AS70*$E64*$F69</f>
        <v>2.6999999999999997</v>
      </c>
      <c r="AU70" s="70" t="s">
        <v>28</v>
      </c>
      <c r="AV70" s="288">
        <v>2</v>
      </c>
      <c r="AW70" s="289">
        <f>AV70/($F72*$E65)</f>
        <v>6.835269993164729E-2</v>
      </c>
      <c r="AX70" s="80" t="s">
        <v>27</v>
      </c>
      <c r="AY70" s="286">
        <v>0.03</v>
      </c>
      <c r="AZ70" s="321">
        <f>AY70*E64*F69/(BB68/1000)</f>
        <v>14.999999999999998</v>
      </c>
      <c r="BA70" s="70" t="s">
        <v>28</v>
      </c>
      <c r="BB70" s="322">
        <v>13</v>
      </c>
      <c r="BC70" s="315">
        <f>(BB70*BB68/1000)/($F72*$E65)</f>
        <v>2.6657552973342446E-2</v>
      </c>
      <c r="BD70" s="70" t="s">
        <v>27</v>
      </c>
      <c r="BE70" s="286">
        <v>7.0000000000000007E-2</v>
      </c>
      <c r="BF70" s="287">
        <f>+BE70*$E64*$F69</f>
        <v>2.1</v>
      </c>
      <c r="BG70" s="70" t="s">
        <v>28</v>
      </c>
      <c r="BH70" s="288">
        <v>2</v>
      </c>
      <c r="BI70" s="290">
        <f>BH70/($F72*$E65)</f>
        <v>6.835269993164729E-2</v>
      </c>
    </row>
    <row r="71" spans="1:61" ht="17.25" customHeight="1">
      <c r="A71" s="89" t="s">
        <v>94</v>
      </c>
      <c r="B71" s="447"/>
      <c r="C71" s="434"/>
      <c r="D71" s="434"/>
      <c r="E71" s="435"/>
      <c r="F71" s="323">
        <f>(L65+L70+R65+X65+AD65+AJ65+AP65+AV65+AV70+BB65+BB70*(BB68/1000)+BH70+BH65)/E65</f>
        <v>0.53560000000000008</v>
      </c>
      <c r="G71" s="324">
        <f>F71/(F70+F71)</f>
        <v>0.46752793296089395</v>
      </c>
      <c r="H71" s="298" t="s">
        <v>31</v>
      </c>
      <c r="I71" s="299">
        <f>+J71/$G64</f>
        <v>4.2000000000000003E-2</v>
      </c>
      <c r="J71" s="74">
        <f>SUM(J69:J70)</f>
        <v>6.3000000000000007</v>
      </c>
      <c r="K71" s="75" t="s">
        <v>31</v>
      </c>
      <c r="L71" s="300">
        <f>SUM(L69:L70)</f>
        <v>6</v>
      </c>
      <c r="M71" s="301">
        <f>L71/($F72*$G65)</f>
        <v>6.8352699931647304E-2</v>
      </c>
      <c r="N71" s="304" t="str">
        <f>VLOOKUP(N63,Friteuse!A:M,10,FALSE())</f>
        <v>Panko</v>
      </c>
      <c r="O71" s="78"/>
      <c r="P71" s="78"/>
      <c r="Q71" s="78"/>
      <c r="R71" s="530">
        <f>VLOOKUP(N63,Friteuse!A:M,11,FALSE())*P66</f>
        <v>0.12</v>
      </c>
      <c r="S71" s="475"/>
      <c r="T71" s="302">
        <f>VLOOKUP(T63,Wok!A:M,10,FALSE())</f>
        <v>0</v>
      </c>
      <c r="U71" s="81"/>
      <c r="V71" s="81"/>
      <c r="W71" s="81"/>
      <c r="X71" s="530">
        <f>VLOOKUP(T63,Wok!A:M,11,FALSE())*V66</f>
        <v>0</v>
      </c>
      <c r="Y71" s="475"/>
      <c r="Z71" s="302" t="str">
        <f>VLOOKUP(Z63,Poele!A:M,10,FALSE())</f>
        <v>Crème</v>
      </c>
      <c r="AA71" s="81"/>
      <c r="AB71" s="81"/>
      <c r="AC71" s="81"/>
      <c r="AD71" s="530">
        <f>VLOOKUP(Z63,Poele!A:M,11,FALSE())*AB66</f>
        <v>0</v>
      </c>
      <c r="AE71" s="475"/>
      <c r="AF71" s="302" t="str">
        <f>VLOOKUP(AF63,Four!A:M,10,FALSE())</f>
        <v>Champignons</v>
      </c>
      <c r="AG71" s="81"/>
      <c r="AH71" s="81"/>
      <c r="AI71" s="81"/>
      <c r="AJ71" s="530">
        <f>VLOOKUP(AF63,Four!A:M,11,FALSE())*AH66</f>
        <v>0.80999999999999994</v>
      </c>
      <c r="AK71" s="475"/>
      <c r="AL71" s="302">
        <f>VLOOKUP(AL63,Four!A:M,10,FALSE())</f>
        <v>0</v>
      </c>
      <c r="AM71" s="81"/>
      <c r="AN71" s="81"/>
      <c r="AO71" s="81"/>
      <c r="AP71" s="530">
        <f>VLOOKUP(AL63,Four!A:M,11,FALSE())*AN66</f>
        <v>0</v>
      </c>
      <c r="AQ71" s="475"/>
      <c r="AR71" s="298" t="s">
        <v>31</v>
      </c>
      <c r="AS71" s="299">
        <f>+AT71/$G64</f>
        <v>0.05</v>
      </c>
      <c r="AT71" s="74">
        <f>SUM(AT69:AT70)</f>
        <v>7.5</v>
      </c>
      <c r="AU71" s="75" t="s">
        <v>31</v>
      </c>
      <c r="AV71" s="300">
        <f>SUM(AV69:AV70)</f>
        <v>6</v>
      </c>
      <c r="AW71" s="301">
        <f>AV71/($F72*$G65)</f>
        <v>6.8352699931647304E-2</v>
      </c>
      <c r="AX71" s="308" t="s">
        <v>31</v>
      </c>
      <c r="AY71" s="299"/>
      <c r="AZ71" s="97">
        <f>SUM(AZ69:AZ70)</f>
        <v>44.999999999999993</v>
      </c>
      <c r="BA71" s="75" t="s">
        <v>31</v>
      </c>
      <c r="BB71" s="325">
        <f>SUM(BB69:BB70)</f>
        <v>38</v>
      </c>
      <c r="BC71" s="295">
        <f>(BB71*BB68/1000)/($F72*$G65)</f>
        <v>2.5974025974025972E-2</v>
      </c>
      <c r="BD71" s="298" t="s">
        <v>31</v>
      </c>
      <c r="BE71" s="299">
        <f>+BF71/$G64</f>
        <v>4.2000000000000003E-2</v>
      </c>
      <c r="BF71" s="74">
        <f>SUM(BF69:BF70)</f>
        <v>6.3000000000000007</v>
      </c>
      <c r="BG71" s="75" t="s">
        <v>31</v>
      </c>
      <c r="BH71" s="300">
        <f>SUM(BH69:BH70)</f>
        <v>6</v>
      </c>
      <c r="BI71" s="76">
        <f>BH71/($F72*$G65)</f>
        <v>6.8352699931647304E-2</v>
      </c>
    </row>
    <row r="72" spans="1:61" ht="17.25" customHeight="1">
      <c r="A72" s="90"/>
      <c r="B72" s="545" t="s">
        <v>159</v>
      </c>
      <c r="C72" s="431"/>
      <c r="D72" s="431"/>
      <c r="E72" s="432"/>
      <c r="F72" s="546">
        <f>(L66+L71+R66+X66+AD66+AJ66+AP66+AV66+AV71+BB71*BB68/1000+BB66+BH66+BH71)/G65</f>
        <v>0.58520000000000005</v>
      </c>
      <c r="G72" s="435"/>
      <c r="H72" s="302" t="str">
        <f>VLOOKUP(H68,Plancha2!A:M,2,FALSE())</f>
        <v>Lamelle encornet</v>
      </c>
      <c r="I72" s="82"/>
      <c r="J72" s="78"/>
      <c r="K72" s="78"/>
      <c r="L72" s="529">
        <f>J71</f>
        <v>6.3000000000000007</v>
      </c>
      <c r="M72" s="475"/>
      <c r="N72" s="101">
        <f>VLOOKUP(N63,Friteuse!A:M,12,FALSE())</f>
        <v>0</v>
      </c>
      <c r="O72" s="70"/>
      <c r="P72" s="70"/>
      <c r="Q72" s="70"/>
      <c r="R72" s="548">
        <f>VLOOKUP(N63,Friteuse!A:M,13,FALSE())*P66</f>
        <v>0</v>
      </c>
      <c r="S72" s="468"/>
      <c r="T72" s="91">
        <f>VLOOKUP(T63,Wok!A:M,12,FALSE())</f>
        <v>0</v>
      </c>
      <c r="U72" s="92"/>
      <c r="V72" s="92"/>
      <c r="W72" s="92"/>
      <c r="X72" s="548">
        <f>VLOOKUP(T63,Wok!A:M,13,FALSE())*V66</f>
        <v>0</v>
      </c>
      <c r="Y72" s="468"/>
      <c r="Z72" s="91">
        <f>VLOOKUP(Z63,Poele!A:M,12,FALSE())</f>
        <v>0</v>
      </c>
      <c r="AA72" s="92"/>
      <c r="AB72" s="92"/>
      <c r="AC72" s="92"/>
      <c r="AD72" s="548">
        <f>VLOOKUP(Z63,Poele!A:M,13,FALSE())*AB66</f>
        <v>0</v>
      </c>
      <c r="AE72" s="468"/>
      <c r="AF72" s="91" t="str">
        <f>VLOOKUP(AF63,Four!A:M,12,FALSE())</f>
        <v>Oignons</v>
      </c>
      <c r="AG72" s="92"/>
      <c r="AH72" s="92"/>
      <c r="AI72" s="92"/>
      <c r="AJ72" s="548">
        <f>VLOOKUP(AF63,Four!A:M,13,FALSE())*AH66</f>
        <v>0.54</v>
      </c>
      <c r="AK72" s="468"/>
      <c r="AL72" s="91">
        <f>VLOOKUP(AL63,Four!A:M,12,FALSE())</f>
        <v>0</v>
      </c>
      <c r="AM72" s="92"/>
      <c r="AN72" s="92"/>
      <c r="AO72" s="92"/>
      <c r="AP72" s="548">
        <f>VLOOKUP(AL63,Four!A:M,13,FALSE())*AN66</f>
        <v>0</v>
      </c>
      <c r="AQ72" s="468"/>
      <c r="AR72" s="80" t="s">
        <v>74</v>
      </c>
      <c r="AS72" s="93"/>
      <c r="AT72" s="70"/>
      <c r="AU72" s="70"/>
      <c r="AV72" s="549">
        <f>AT71</f>
        <v>7.5</v>
      </c>
      <c r="AW72" s="468"/>
      <c r="AX72" s="538" t="s">
        <v>75</v>
      </c>
      <c r="AY72" s="461"/>
      <c r="AZ72" s="461"/>
      <c r="BA72" s="311"/>
      <c r="BB72" s="529">
        <f>AZ71*(BB68/1000)</f>
        <v>2.6999999999999993</v>
      </c>
      <c r="BC72" s="475"/>
      <c r="BD72" s="543" t="s">
        <v>115</v>
      </c>
      <c r="BE72" s="461"/>
      <c r="BF72" s="461"/>
      <c r="BG72" s="94"/>
      <c r="BH72" s="549">
        <f>BF71</f>
        <v>6.3000000000000007</v>
      </c>
      <c r="BI72" s="550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  <row r="74" spans="1:61" ht="12.75" customHeight="1">
      <c r="A74" s="3"/>
      <c r="B74" s="98" t="str">
        <f t="shared" ref="B74:B79" si="7">N7</f>
        <v>Falafel</v>
      </c>
      <c r="C74" s="99">
        <f t="shared" ref="C74:C79" si="8">R7</f>
        <v>1.2</v>
      </c>
      <c r="R74" s="3"/>
    </row>
    <row r="75" spans="1:61" ht="12.75" customHeight="1">
      <c r="A75" s="3"/>
      <c r="B75" s="98">
        <f t="shared" si="7"/>
        <v>0</v>
      </c>
      <c r="C75" s="99">
        <f t="shared" si="8"/>
        <v>0</v>
      </c>
      <c r="R75" s="3"/>
    </row>
    <row r="76" spans="1:61" ht="12.75" customHeight="1">
      <c r="A76" s="3"/>
      <c r="B76" s="98">
        <f t="shared" si="7"/>
        <v>0</v>
      </c>
      <c r="C76" s="99">
        <f t="shared" si="8"/>
        <v>0</v>
      </c>
      <c r="R76" s="3"/>
    </row>
    <row r="77" spans="1:61" ht="12.75" customHeight="1">
      <c r="A77" s="3"/>
      <c r="B77" s="100">
        <f t="shared" si="7"/>
        <v>0</v>
      </c>
      <c r="C77" s="99">
        <f t="shared" si="8"/>
        <v>0</v>
      </c>
      <c r="R77" s="3"/>
    </row>
    <row r="78" spans="1:61" ht="12.75" customHeight="1">
      <c r="A78" s="3"/>
      <c r="B78" s="100">
        <f t="shared" si="7"/>
        <v>0</v>
      </c>
      <c r="C78" s="99">
        <f t="shared" si="8"/>
        <v>0</v>
      </c>
      <c r="R78" s="3"/>
    </row>
    <row r="79" spans="1:61" ht="12.75" customHeight="1">
      <c r="A79" s="3"/>
      <c r="B79" s="100">
        <f t="shared" si="7"/>
        <v>0</v>
      </c>
      <c r="C79" s="99">
        <f t="shared" si="8"/>
        <v>0</v>
      </c>
      <c r="R79" s="3"/>
    </row>
    <row r="80" spans="1:61" ht="12.75" customHeight="1">
      <c r="A80" s="3"/>
      <c r="B80" s="98" t="str">
        <f t="shared" ref="B80:B85" si="9">N17</f>
        <v>Oeuf</v>
      </c>
      <c r="C80" s="99">
        <f t="shared" ref="C80:C85" si="10">R17</f>
        <v>0.24</v>
      </c>
      <c r="R80" s="3"/>
    </row>
    <row r="81" spans="2:3" ht="12.75" customHeight="1">
      <c r="B81" s="98" t="str">
        <f t="shared" si="9"/>
        <v>Carotte</v>
      </c>
      <c r="C81" s="99">
        <f t="shared" si="10"/>
        <v>0.54</v>
      </c>
    </row>
    <row r="82" spans="2:3" ht="12.75" customHeight="1">
      <c r="B82" s="98" t="str">
        <f t="shared" si="9"/>
        <v>Farine</v>
      </c>
      <c r="C82" s="99">
        <f t="shared" si="10"/>
        <v>0.36</v>
      </c>
    </row>
    <row r="83" spans="2:3" ht="12.75" customHeight="1">
      <c r="B83" s="98" t="str">
        <f t="shared" si="9"/>
        <v>Lait</v>
      </c>
      <c r="C83" s="99">
        <f t="shared" si="10"/>
        <v>0.06</v>
      </c>
    </row>
    <row r="84" spans="2:3" ht="12.75" customHeight="1">
      <c r="B84" s="98" t="str">
        <f t="shared" si="9"/>
        <v>Levure</v>
      </c>
      <c r="C84" s="99">
        <f t="shared" si="10"/>
        <v>1.1999999999999999E-3</v>
      </c>
    </row>
    <row r="85" spans="2:3" ht="12.75" customHeight="1">
      <c r="B85" s="98" t="str">
        <f t="shared" si="9"/>
        <v>Curry gold</v>
      </c>
      <c r="C85" s="99">
        <f t="shared" si="10"/>
        <v>1.1999999999999999E-3</v>
      </c>
    </row>
    <row r="86" spans="2:3" ht="12.75" customHeight="1">
      <c r="B86" s="98" t="str">
        <f t="shared" ref="B86:B91" si="11">N27</f>
        <v>Aiguilette</v>
      </c>
      <c r="C86" s="99">
        <f t="shared" ref="C86:C91" si="12">R27</f>
        <v>1.032</v>
      </c>
    </row>
    <row r="87" spans="2:3" ht="12.75" customHeight="1">
      <c r="B87" s="98" t="str">
        <f t="shared" si="11"/>
        <v>Creme</v>
      </c>
      <c r="C87" s="99">
        <f t="shared" si="12"/>
        <v>1.2E-2</v>
      </c>
    </row>
    <row r="88" spans="2:3" ht="12.75" customHeight="1">
      <c r="B88" s="98" t="str">
        <f t="shared" si="11"/>
        <v>Tandoori</v>
      </c>
      <c r="C88" s="99">
        <f t="shared" si="12"/>
        <v>1.7999999999999999E-2</v>
      </c>
    </row>
    <row r="89" spans="2:3" ht="12.75" customHeight="1">
      <c r="B89" s="98" t="str">
        <f t="shared" si="11"/>
        <v>Sel</v>
      </c>
      <c r="C89" s="99">
        <f t="shared" si="12"/>
        <v>1.7999999999999999E-2</v>
      </c>
    </row>
    <row r="90" spans="2:3" ht="12.75" customHeight="1">
      <c r="B90" s="98" t="str">
        <f t="shared" si="11"/>
        <v>Panko</v>
      </c>
      <c r="C90" s="99">
        <f t="shared" si="12"/>
        <v>0.12</v>
      </c>
    </row>
    <row r="91" spans="2:3" ht="12.75" customHeight="1">
      <c r="B91" s="98">
        <f t="shared" si="11"/>
        <v>0</v>
      </c>
      <c r="C91" s="99">
        <f t="shared" si="12"/>
        <v>0</v>
      </c>
    </row>
    <row r="92" spans="2:3" ht="12.75" customHeight="1">
      <c r="B92" s="98" t="str">
        <f t="shared" ref="B92:B97" si="13">N37</f>
        <v>Falafel</v>
      </c>
      <c r="C92" s="99">
        <f t="shared" ref="C92:C97" si="14">R37</f>
        <v>1.2</v>
      </c>
    </row>
    <row r="93" spans="2:3" ht="12.75" customHeight="1">
      <c r="B93" s="98">
        <f t="shared" si="13"/>
        <v>0</v>
      </c>
      <c r="C93" s="99">
        <f t="shared" si="14"/>
        <v>0</v>
      </c>
    </row>
    <row r="94" spans="2:3" ht="12.75" customHeight="1">
      <c r="B94" s="98">
        <f t="shared" si="13"/>
        <v>0</v>
      </c>
      <c r="C94" s="99">
        <f t="shared" si="14"/>
        <v>0</v>
      </c>
    </row>
    <row r="95" spans="2:3" ht="12.75" customHeight="1">
      <c r="B95" s="100">
        <f t="shared" si="13"/>
        <v>0</v>
      </c>
      <c r="C95" s="99">
        <f t="shared" si="14"/>
        <v>0</v>
      </c>
    </row>
    <row r="96" spans="2:3" ht="12.75" customHeight="1">
      <c r="B96" s="100">
        <f t="shared" si="13"/>
        <v>0</v>
      </c>
      <c r="C96" s="99">
        <f t="shared" si="14"/>
        <v>0</v>
      </c>
    </row>
    <row r="97" spans="2:3" ht="12.75" customHeight="1">
      <c r="B97" s="100">
        <f t="shared" si="13"/>
        <v>0</v>
      </c>
      <c r="C97" s="99">
        <f t="shared" si="14"/>
        <v>0</v>
      </c>
    </row>
    <row r="98" spans="2:3" ht="12.75" customHeight="1">
      <c r="B98" s="98" t="str">
        <f t="shared" ref="B98:B103" si="15">N47</f>
        <v>Aiguilette</v>
      </c>
      <c r="C98" s="99">
        <f t="shared" ref="C98:C103" si="16">R47</f>
        <v>1.032</v>
      </c>
    </row>
    <row r="99" spans="2:3" ht="12.75" customHeight="1">
      <c r="B99" s="98" t="str">
        <f t="shared" si="15"/>
        <v>Creme</v>
      </c>
      <c r="C99" s="99">
        <f t="shared" si="16"/>
        <v>1.2E-2</v>
      </c>
    </row>
    <row r="100" spans="2:3" ht="12.75" customHeight="1">
      <c r="B100" s="98" t="str">
        <f t="shared" si="15"/>
        <v>Tandoori</v>
      </c>
      <c r="C100" s="99">
        <f t="shared" si="16"/>
        <v>1.7999999999999999E-2</v>
      </c>
    </row>
    <row r="101" spans="2:3" ht="12.75" customHeight="1">
      <c r="B101" s="98" t="str">
        <f t="shared" si="15"/>
        <v>Sel</v>
      </c>
      <c r="C101" s="99">
        <f t="shared" si="16"/>
        <v>1.7999999999999999E-2</v>
      </c>
    </row>
    <row r="102" spans="2:3" ht="12.75" customHeight="1">
      <c r="B102" s="98" t="str">
        <f t="shared" si="15"/>
        <v>Panko</v>
      </c>
      <c r="C102" s="99">
        <f t="shared" si="16"/>
        <v>0.12</v>
      </c>
    </row>
    <row r="103" spans="2:3" ht="12.75" customHeight="1">
      <c r="B103" s="98">
        <f t="shared" si="15"/>
        <v>0</v>
      </c>
      <c r="C103" s="99">
        <f t="shared" si="16"/>
        <v>0</v>
      </c>
    </row>
    <row r="104" spans="2:3" ht="12.75" customHeight="1">
      <c r="B104" s="98" t="str">
        <f t="shared" ref="B104:B109" si="17">N57</f>
        <v>Aiguilette</v>
      </c>
      <c r="C104" s="99">
        <f t="shared" ref="C104:C109" si="18">R57</f>
        <v>1.032</v>
      </c>
    </row>
    <row r="105" spans="2:3" ht="12.75" customHeight="1">
      <c r="B105" s="98" t="str">
        <f t="shared" si="17"/>
        <v>Creme</v>
      </c>
      <c r="C105" s="99">
        <f t="shared" si="18"/>
        <v>1.2E-2</v>
      </c>
    </row>
    <row r="106" spans="2:3" ht="12.75" customHeight="1">
      <c r="B106" s="98" t="str">
        <f t="shared" si="17"/>
        <v>Tandoori</v>
      </c>
      <c r="C106" s="99">
        <f t="shared" si="18"/>
        <v>1.7999999999999999E-2</v>
      </c>
    </row>
    <row r="107" spans="2:3" ht="12.75" customHeight="1">
      <c r="B107" s="98" t="str">
        <f t="shared" si="17"/>
        <v>Sel</v>
      </c>
      <c r="C107" s="99">
        <f t="shared" si="18"/>
        <v>1.7999999999999999E-2</v>
      </c>
    </row>
    <row r="108" spans="2:3" ht="12.75" customHeight="1">
      <c r="B108" s="98" t="str">
        <f t="shared" si="17"/>
        <v>Panko</v>
      </c>
      <c r="C108" s="99">
        <f t="shared" si="18"/>
        <v>0.12</v>
      </c>
    </row>
    <row r="109" spans="2:3" ht="12.75" customHeight="1">
      <c r="B109" s="98">
        <f t="shared" si="17"/>
        <v>0</v>
      </c>
      <c r="C109" s="99">
        <f t="shared" si="18"/>
        <v>0</v>
      </c>
    </row>
    <row r="110" spans="2:3" ht="12.75" customHeight="1">
      <c r="B110" s="98" t="str">
        <f t="shared" ref="B110:B115" si="19">N67</f>
        <v>Aiguilette</v>
      </c>
      <c r="C110" s="99">
        <f t="shared" ref="C110:C115" si="20">R67</f>
        <v>1.032</v>
      </c>
    </row>
    <row r="111" spans="2:3" ht="12.75" customHeight="1">
      <c r="B111" s="98" t="str">
        <f t="shared" si="19"/>
        <v>Creme</v>
      </c>
      <c r="C111" s="99">
        <f t="shared" si="20"/>
        <v>1.2E-2</v>
      </c>
    </row>
    <row r="112" spans="2:3" ht="12.75" customHeight="1">
      <c r="B112" s="98" t="str">
        <f t="shared" si="19"/>
        <v>Tandoori</v>
      </c>
      <c r="C112" s="99">
        <f t="shared" si="20"/>
        <v>1.7999999999999999E-2</v>
      </c>
    </row>
    <row r="113" spans="2:3" ht="12.75" customHeight="1">
      <c r="B113" s="98" t="str">
        <f t="shared" si="19"/>
        <v>Sel</v>
      </c>
      <c r="C113" s="99">
        <f t="shared" si="20"/>
        <v>1.7999999999999999E-2</v>
      </c>
    </row>
    <row r="114" spans="2:3" ht="12.75" customHeight="1">
      <c r="B114" s="98" t="str">
        <f t="shared" si="19"/>
        <v>Panko</v>
      </c>
      <c r="C114" s="99">
        <f t="shared" si="20"/>
        <v>0.12</v>
      </c>
    </row>
    <row r="115" spans="2:3" ht="12.75" customHeight="1">
      <c r="B115" s="98">
        <f t="shared" si="19"/>
        <v>0</v>
      </c>
      <c r="C115" s="99">
        <f t="shared" si="20"/>
        <v>0</v>
      </c>
    </row>
    <row r="116" spans="2:3" ht="12.75" customHeight="1">
      <c r="B116" s="100">
        <f t="shared" ref="B116:B121" si="21">T7</f>
        <v>0</v>
      </c>
      <c r="C116" s="99">
        <f t="shared" ref="C116:C121" si="22">X7</f>
        <v>0</v>
      </c>
    </row>
    <row r="117" spans="2:3" ht="12.75" customHeight="1">
      <c r="B117" s="100">
        <f t="shared" si="21"/>
        <v>0</v>
      </c>
      <c r="C117" s="99">
        <f t="shared" si="22"/>
        <v>0</v>
      </c>
    </row>
    <row r="118" spans="2:3" ht="12.75" customHeight="1">
      <c r="B118" s="100">
        <f t="shared" si="21"/>
        <v>0</v>
      </c>
      <c r="C118" s="99">
        <f t="shared" si="22"/>
        <v>0</v>
      </c>
    </row>
    <row r="119" spans="2:3" ht="12.75" customHeight="1">
      <c r="B119" s="100">
        <f t="shared" si="21"/>
        <v>0</v>
      </c>
      <c r="C119" s="99">
        <f t="shared" si="22"/>
        <v>0</v>
      </c>
    </row>
    <row r="120" spans="2:3" ht="12.75" customHeight="1">
      <c r="B120" s="100">
        <f t="shared" si="21"/>
        <v>0</v>
      </c>
      <c r="C120" s="99">
        <f t="shared" si="22"/>
        <v>0</v>
      </c>
    </row>
    <row r="121" spans="2:3" ht="12.75" customHeight="1">
      <c r="B121" s="100">
        <f t="shared" si="21"/>
        <v>0</v>
      </c>
      <c r="C121" s="99">
        <f t="shared" si="22"/>
        <v>0</v>
      </c>
    </row>
    <row r="122" spans="2:3" ht="12.75" customHeight="1">
      <c r="B122" s="100" t="str">
        <f t="shared" ref="B122:B127" si="23">T17</f>
        <v>Aiguillettes</v>
      </c>
      <c r="C122" s="99">
        <f t="shared" ref="C122:C127" si="24">X17</f>
        <v>2.5350000000000001</v>
      </c>
    </row>
    <row r="123" spans="2:3" ht="12.75" customHeight="1">
      <c r="B123" s="100" t="str">
        <f t="shared" si="23"/>
        <v>Artichaud</v>
      </c>
      <c r="C123" s="99">
        <f t="shared" si="24"/>
        <v>0.78</v>
      </c>
    </row>
    <row r="124" spans="2:3" ht="12.75" customHeight="1">
      <c r="B124" s="100" t="str">
        <f t="shared" si="23"/>
        <v>Oignon</v>
      </c>
      <c r="C124" s="99">
        <f t="shared" si="24"/>
        <v>0.19500000000000001</v>
      </c>
    </row>
    <row r="125" spans="2:3" ht="12.75" customHeight="1">
      <c r="B125" s="100" t="str">
        <f t="shared" si="23"/>
        <v>Ail</v>
      </c>
      <c r="C125" s="99">
        <f t="shared" si="24"/>
        <v>0.19500000000000001</v>
      </c>
    </row>
    <row r="126" spans="2:3" ht="12.75" customHeight="1">
      <c r="B126" s="100" t="str">
        <f t="shared" si="23"/>
        <v>Tomate</v>
      </c>
      <c r="C126" s="99">
        <f t="shared" si="24"/>
        <v>0.78</v>
      </c>
    </row>
    <row r="127" spans="2:3" ht="12.75" customHeight="1">
      <c r="B127" s="100" t="str">
        <f t="shared" si="23"/>
        <v>Vinaigre</v>
      </c>
      <c r="C127" s="99">
        <f t="shared" si="24"/>
        <v>0.39</v>
      </c>
    </row>
    <row r="128" spans="2:3" ht="12.75" customHeight="1">
      <c r="B128" s="100" t="str">
        <f t="shared" ref="B128:B133" si="25">T27</f>
        <v>Riz carnoli CUIT (2kg pour 1,6L)</v>
      </c>
      <c r="C128" s="99">
        <f t="shared" ref="C128:C133" si="26">X27</f>
        <v>1.4039999999999999</v>
      </c>
    </row>
    <row r="129" spans="2:3" ht="12.75" customHeight="1">
      <c r="B129" s="100" t="str">
        <f t="shared" si="25"/>
        <v>Courgettes</v>
      </c>
      <c r="C129" s="99">
        <f t="shared" si="26"/>
        <v>0.39</v>
      </c>
    </row>
    <row r="130" spans="2:3" ht="12.75" customHeight="1">
      <c r="B130" s="100" t="str">
        <f t="shared" si="25"/>
        <v>Champignon</v>
      </c>
      <c r="C130" s="99">
        <f t="shared" si="26"/>
        <v>0.624</v>
      </c>
    </row>
    <row r="131" spans="2:3" ht="12.75" customHeight="1">
      <c r="B131" s="100" t="str">
        <f t="shared" si="25"/>
        <v>Creme culinaire</v>
      </c>
      <c r="C131" s="99">
        <f t="shared" si="26"/>
        <v>0.58499999999999996</v>
      </c>
    </row>
    <row r="132" spans="2:3" ht="12.75" customHeight="1">
      <c r="B132" s="100" t="str">
        <f t="shared" si="25"/>
        <v>Oignon</v>
      </c>
      <c r="C132" s="99">
        <f t="shared" si="26"/>
        <v>0.19500000000000001</v>
      </c>
    </row>
    <row r="133" spans="2:3" ht="12.75" customHeight="1">
      <c r="B133" s="100" t="str">
        <f t="shared" si="25"/>
        <v>Base bouillon</v>
      </c>
      <c r="C133" s="99">
        <f t="shared" si="26"/>
        <v>0.70199999999999996</v>
      </c>
    </row>
    <row r="134" spans="2:3" ht="12.75" customHeight="1">
      <c r="B134" s="100" t="str">
        <f t="shared" ref="B134:B139" si="27">T37</f>
        <v>Aiguillettes</v>
      </c>
      <c r="C134" s="99">
        <f t="shared" ref="C134:C139" si="28">X37</f>
        <v>2.5350000000000001</v>
      </c>
    </row>
    <row r="135" spans="2:3" ht="12.75" customHeight="1">
      <c r="B135" s="100" t="str">
        <f t="shared" si="27"/>
        <v>Champignons</v>
      </c>
      <c r="C135" s="99">
        <f t="shared" si="28"/>
        <v>0.39</v>
      </c>
    </row>
    <row r="136" spans="2:3" ht="12.75" customHeight="1">
      <c r="B136" s="100" t="str">
        <f t="shared" si="27"/>
        <v>Courgettes</v>
      </c>
      <c r="C136" s="99">
        <f t="shared" si="28"/>
        <v>0.39</v>
      </c>
    </row>
    <row r="137" spans="2:3" ht="12.75" customHeight="1">
      <c r="B137" s="100" t="str">
        <f t="shared" si="27"/>
        <v>Poivron</v>
      </c>
      <c r="C137" s="99">
        <f t="shared" si="28"/>
        <v>0.39</v>
      </c>
    </row>
    <row r="138" spans="2:3" ht="12.75" customHeight="1">
      <c r="B138" s="100" t="str">
        <f t="shared" si="27"/>
        <v>Crème</v>
      </c>
      <c r="C138" s="99">
        <f t="shared" si="28"/>
        <v>0.19500000000000001</v>
      </c>
    </row>
    <row r="139" spans="2:3" ht="12.75" customHeight="1">
      <c r="B139" s="100">
        <f t="shared" si="27"/>
        <v>0</v>
      </c>
      <c r="C139" s="99">
        <f t="shared" si="28"/>
        <v>0</v>
      </c>
    </row>
    <row r="140" spans="2:3" ht="12.75" customHeight="1">
      <c r="B140" s="100" t="str">
        <f t="shared" ref="B140:B145" si="29">T47</f>
        <v>Poisson blanc</v>
      </c>
      <c r="C140" s="99">
        <f t="shared" ref="C140:C145" si="30">X47</f>
        <v>1.56</v>
      </c>
    </row>
    <row r="141" spans="2:3" ht="12.75" customHeight="1">
      <c r="B141" s="100" t="str">
        <f t="shared" si="29"/>
        <v>Courgette / Carotte</v>
      </c>
      <c r="C141" s="99">
        <f t="shared" si="30"/>
        <v>1.56</v>
      </c>
    </row>
    <row r="142" spans="2:3" ht="12.75" customHeight="1">
      <c r="B142" s="100" t="str">
        <f t="shared" si="29"/>
        <v>Huile</v>
      </c>
      <c r="C142" s="99">
        <f t="shared" si="30"/>
        <v>0.156</v>
      </c>
    </row>
    <row r="143" spans="2:3" ht="12.75" customHeight="1">
      <c r="B143" s="100" t="str">
        <f t="shared" si="29"/>
        <v>Farine</v>
      </c>
      <c r="C143" s="99">
        <f t="shared" si="30"/>
        <v>0.23399999999999999</v>
      </c>
    </row>
    <row r="144" spans="2:3" ht="12.75" customHeight="1">
      <c r="B144" s="100" t="str">
        <f t="shared" si="29"/>
        <v>Curry</v>
      </c>
      <c r="C144" s="99">
        <f t="shared" si="30"/>
        <v>7.8E-2</v>
      </c>
    </row>
    <row r="145" spans="2:3" ht="12.75" customHeight="1">
      <c r="B145" s="100" t="str">
        <f t="shared" si="29"/>
        <v>Creme</v>
      </c>
      <c r="C145" s="99">
        <f t="shared" si="30"/>
        <v>0.312</v>
      </c>
    </row>
    <row r="146" spans="2:3" ht="12.75" customHeight="1">
      <c r="B146" s="100" t="str">
        <f t="shared" ref="B146:B151" si="31">T57</f>
        <v>Pâtes</v>
      </c>
      <c r="C146" s="99">
        <f t="shared" ref="C146:C151" si="32">X57</f>
        <v>2.2229999999999999</v>
      </c>
    </row>
    <row r="147" spans="2:3" ht="12.75" customHeight="1">
      <c r="B147" s="100" t="str">
        <f t="shared" si="31"/>
        <v>Poivron vert</v>
      </c>
      <c r="C147" s="99">
        <f t="shared" si="32"/>
        <v>0.78</v>
      </c>
    </row>
    <row r="148" spans="2:3" ht="12.75" customHeight="1">
      <c r="B148" s="100" t="str">
        <f t="shared" si="31"/>
        <v>Chorizo</v>
      </c>
      <c r="C148" s="99">
        <f t="shared" si="32"/>
        <v>7.8E-2</v>
      </c>
    </row>
    <row r="149" spans="2:3" ht="12.75" customHeight="1">
      <c r="B149" s="100" t="str">
        <f t="shared" si="31"/>
        <v>Oignon</v>
      </c>
      <c r="C149" s="99">
        <f t="shared" si="32"/>
        <v>0.46799999999999997</v>
      </c>
    </row>
    <row r="150" spans="2:3" ht="12.75" customHeight="1">
      <c r="B150" s="100" t="str">
        <f t="shared" si="31"/>
        <v>Sce napo</v>
      </c>
      <c r="C150" s="99">
        <f t="shared" si="32"/>
        <v>0.46799999999999997</v>
      </c>
    </row>
    <row r="151" spans="2:3" ht="12.75" customHeight="1">
      <c r="B151" s="100">
        <f t="shared" si="31"/>
        <v>0</v>
      </c>
      <c r="C151" s="99">
        <f t="shared" si="32"/>
        <v>0</v>
      </c>
    </row>
    <row r="152" spans="2:3" ht="12.75" customHeight="1">
      <c r="B152" s="100" t="str">
        <f t="shared" ref="B152:B157" si="33">T67</f>
        <v>Butternut</v>
      </c>
      <c r="C152" s="99">
        <f t="shared" ref="C152:C157" si="34">X67</f>
        <v>3.51</v>
      </c>
    </row>
    <row r="153" spans="2:3" ht="12.75" customHeight="1">
      <c r="B153" s="100" t="str">
        <f t="shared" si="33"/>
        <v>Huile</v>
      </c>
      <c r="C153" s="99">
        <f t="shared" si="34"/>
        <v>0.19500000000000001</v>
      </c>
    </row>
    <row r="154" spans="2:3" ht="12.75" customHeight="1">
      <c r="B154" s="100" t="str">
        <f t="shared" si="33"/>
        <v>Curry</v>
      </c>
      <c r="C154" s="99">
        <f t="shared" si="34"/>
        <v>3.9E-2</v>
      </c>
    </row>
    <row r="155" spans="2:3" ht="12.75" customHeight="1">
      <c r="B155" s="100" t="str">
        <f t="shared" si="33"/>
        <v>Champignon</v>
      </c>
      <c r="C155" s="99">
        <f t="shared" si="34"/>
        <v>0.19500000000000001</v>
      </c>
    </row>
    <row r="156" spans="2:3" ht="12.75" customHeight="1">
      <c r="B156" s="100">
        <f t="shared" si="33"/>
        <v>0</v>
      </c>
      <c r="C156" s="99">
        <f t="shared" si="34"/>
        <v>0</v>
      </c>
    </row>
    <row r="157" spans="2:3" ht="12.75" customHeight="1">
      <c r="B157" s="100">
        <f t="shared" si="33"/>
        <v>0</v>
      </c>
      <c r="C157" s="99">
        <f t="shared" si="34"/>
        <v>0</v>
      </c>
    </row>
    <row r="158" spans="2:3" ht="12.75" customHeight="1">
      <c r="B158" s="100" t="e">
        <f t="shared" ref="B158:B163" si="35">Z7</f>
        <v>#N/A</v>
      </c>
      <c r="C158" s="99" t="e">
        <f t="shared" ref="C158:C163" si="36">AD7</f>
        <v>#N/A</v>
      </c>
    </row>
    <row r="159" spans="2:3" ht="12.75" customHeight="1">
      <c r="B159" s="100" t="e">
        <f t="shared" si="35"/>
        <v>#N/A</v>
      </c>
      <c r="C159" s="99" t="e">
        <f t="shared" si="36"/>
        <v>#N/A</v>
      </c>
    </row>
    <row r="160" spans="2:3" ht="12.75" customHeight="1">
      <c r="B160" s="100" t="e">
        <f t="shared" si="35"/>
        <v>#N/A</v>
      </c>
      <c r="C160" s="99" t="e">
        <f t="shared" si="36"/>
        <v>#N/A</v>
      </c>
    </row>
    <row r="161" spans="2:3" ht="12.75" customHeight="1">
      <c r="B161" s="100" t="e">
        <f t="shared" si="35"/>
        <v>#N/A</v>
      </c>
      <c r="C161" s="99" t="e">
        <f t="shared" si="36"/>
        <v>#N/A</v>
      </c>
    </row>
    <row r="162" spans="2:3" ht="12.75" customHeight="1">
      <c r="B162" s="100" t="e">
        <f t="shared" si="35"/>
        <v>#N/A</v>
      </c>
      <c r="C162" s="99" t="e">
        <f t="shared" si="36"/>
        <v>#N/A</v>
      </c>
    </row>
    <row r="163" spans="2:3" ht="12.75" customHeight="1">
      <c r="B163" s="100" t="e">
        <f t="shared" si="35"/>
        <v>#N/A</v>
      </c>
      <c r="C163" s="99" t="e">
        <f t="shared" si="36"/>
        <v>#N/A</v>
      </c>
    </row>
    <row r="164" spans="2:3" ht="12.75" customHeight="1">
      <c r="B164" s="100" t="str">
        <f t="shared" ref="B164:B169" si="37">Z17</f>
        <v>Riz carnoli CUIT (2kg pour 1,6L)</v>
      </c>
      <c r="C164" s="99">
        <f t="shared" ref="C164:C169" si="38">AD17</f>
        <v>0.97199999999999986</v>
      </c>
    </row>
    <row r="165" spans="2:3" ht="12.75" customHeight="1">
      <c r="B165" s="100" t="str">
        <f t="shared" si="37"/>
        <v>Coppa</v>
      </c>
      <c r="C165" s="99">
        <f t="shared" si="38"/>
        <v>0.26999999999999996</v>
      </c>
    </row>
    <row r="166" spans="2:3" ht="12.75" customHeight="1">
      <c r="B166" s="100" t="str">
        <f t="shared" si="37"/>
        <v>Champignon</v>
      </c>
      <c r="C166" s="99">
        <f t="shared" si="38"/>
        <v>0.43199999999999994</v>
      </c>
    </row>
    <row r="167" spans="2:3" ht="12.75" customHeight="1">
      <c r="B167" s="100" t="str">
        <f t="shared" si="37"/>
        <v>Creme culinaire</v>
      </c>
      <c r="C167" s="99">
        <f t="shared" si="38"/>
        <v>0.40499999999999997</v>
      </c>
    </row>
    <row r="168" spans="2:3" ht="12.75" customHeight="1">
      <c r="B168" s="100" t="str">
        <f t="shared" si="37"/>
        <v>Oignon</v>
      </c>
      <c r="C168" s="99">
        <f t="shared" si="38"/>
        <v>0.13499999999999998</v>
      </c>
    </row>
    <row r="169" spans="2:3" ht="12.75" customHeight="1">
      <c r="B169" s="100" t="str">
        <f t="shared" si="37"/>
        <v>Base bouillon</v>
      </c>
      <c r="C169" s="99">
        <f t="shared" si="38"/>
        <v>0.48599999999999993</v>
      </c>
    </row>
    <row r="170" spans="2:3" ht="12.75" customHeight="1">
      <c r="B170" s="100" t="str">
        <f t="shared" ref="B170:B175" si="39">Z27</f>
        <v>cote de porc</v>
      </c>
      <c r="C170" s="99">
        <f t="shared" ref="C170:C175" si="40">AD27</f>
        <v>1.0799999999999998</v>
      </c>
    </row>
    <row r="171" spans="2:3" ht="12.75" customHeight="1">
      <c r="B171" s="100" t="str">
        <f t="shared" si="39"/>
        <v>moutarde à l'ancienne</v>
      </c>
      <c r="C171" s="99">
        <f t="shared" si="40"/>
        <v>0.53999999999999992</v>
      </c>
    </row>
    <row r="172" spans="2:3" ht="12.75" customHeight="1">
      <c r="B172" s="100" t="str">
        <f t="shared" si="39"/>
        <v>oignons</v>
      </c>
      <c r="C172" s="99">
        <f t="shared" si="40"/>
        <v>0.53999999999999992</v>
      </c>
    </row>
    <row r="173" spans="2:3" ht="12.75" customHeight="1">
      <c r="B173" s="100" t="str">
        <f t="shared" si="39"/>
        <v>crème liquide</v>
      </c>
      <c r="C173" s="99">
        <f t="shared" si="40"/>
        <v>0.40499999999999997</v>
      </c>
    </row>
    <row r="174" spans="2:3" ht="12.75" customHeight="1">
      <c r="B174" s="100">
        <f t="shared" si="39"/>
        <v>0</v>
      </c>
      <c r="C174" s="99">
        <f t="shared" si="40"/>
        <v>0</v>
      </c>
    </row>
    <row r="175" spans="2:3" ht="12.75" customHeight="1">
      <c r="B175" s="100">
        <f t="shared" si="39"/>
        <v>0</v>
      </c>
      <c r="C175" s="99">
        <f t="shared" si="40"/>
        <v>0</v>
      </c>
    </row>
    <row r="176" spans="2:3" ht="12.75" customHeight="1">
      <c r="B176" s="100" t="str">
        <f t="shared" ref="B176:B181" si="41">Z37</f>
        <v>Lieu</v>
      </c>
      <c r="C176" s="99">
        <f t="shared" ref="C176:C181" si="42">AD37</f>
        <v>1.9709999999999999</v>
      </c>
    </row>
    <row r="177" spans="2:3" ht="12.75" customHeight="1">
      <c r="B177" s="100" t="str">
        <f t="shared" si="41"/>
        <v>Oignon</v>
      </c>
      <c r="C177" s="99">
        <f t="shared" si="42"/>
        <v>0.26999999999999996</v>
      </c>
    </row>
    <row r="178" spans="2:3" ht="12.75" customHeight="1">
      <c r="B178" s="100" t="str">
        <f t="shared" si="41"/>
        <v>Poivron vert</v>
      </c>
      <c r="C178" s="99">
        <f t="shared" si="42"/>
        <v>0.26999999999999996</v>
      </c>
    </row>
    <row r="179" spans="2:3" ht="12.75" customHeight="1">
      <c r="B179" s="100" t="str">
        <f t="shared" si="41"/>
        <v>Vin blc</v>
      </c>
      <c r="C179" s="99">
        <f t="shared" si="42"/>
        <v>0.189</v>
      </c>
    </row>
    <row r="180" spans="2:3" ht="12.75" customHeight="1">
      <c r="B180" s="100" t="str">
        <f t="shared" si="41"/>
        <v>Sce napo</v>
      </c>
      <c r="C180" s="99">
        <f t="shared" si="42"/>
        <v>0</v>
      </c>
    </row>
    <row r="181" spans="2:3" ht="12.75" customHeight="1">
      <c r="B181" s="100" t="str">
        <f t="shared" si="41"/>
        <v>Basilic</v>
      </c>
      <c r="C181" s="99">
        <f t="shared" si="42"/>
        <v>0</v>
      </c>
    </row>
    <row r="182" spans="2:3" ht="12.75" customHeight="1">
      <c r="B182" s="100" t="str">
        <f t="shared" ref="B182:B187" si="43">Z47</f>
        <v>Courgette</v>
      </c>
      <c r="C182" s="99">
        <f t="shared" ref="C182:C187" si="44">AD47</f>
        <v>1.2149999999999999</v>
      </c>
    </row>
    <row r="183" spans="2:3" ht="12.75" customHeight="1">
      <c r="B183" s="100" t="str">
        <f t="shared" si="43"/>
        <v>Carotte</v>
      </c>
      <c r="C183" s="99">
        <f t="shared" si="44"/>
        <v>1.2149999999999999</v>
      </c>
    </row>
    <row r="184" spans="2:3" ht="12.75" customHeight="1">
      <c r="B184" s="100" t="str">
        <f t="shared" si="43"/>
        <v>Sel</v>
      </c>
      <c r="C184" s="99">
        <f t="shared" si="44"/>
        <v>2.6999999999999996E-2</v>
      </c>
    </row>
    <row r="185" spans="2:3" ht="12.75" customHeight="1">
      <c r="B185" s="100" t="str">
        <f t="shared" si="43"/>
        <v>Herbes</v>
      </c>
      <c r="C185" s="99">
        <f t="shared" si="44"/>
        <v>2.6999999999999996E-2</v>
      </c>
    </row>
    <row r="186" spans="2:3" ht="12.75" customHeight="1">
      <c r="B186" s="100" t="str">
        <f t="shared" si="43"/>
        <v>Beurre</v>
      </c>
      <c r="C186" s="99">
        <f t="shared" si="44"/>
        <v>0.21599999999999997</v>
      </c>
    </row>
    <row r="187" spans="2:3" ht="12.75" customHeight="1">
      <c r="B187" s="100">
        <f t="shared" si="43"/>
        <v>0</v>
      </c>
      <c r="C187" s="99">
        <f t="shared" si="44"/>
        <v>0</v>
      </c>
    </row>
    <row r="188" spans="2:3" ht="12.75" customHeight="1">
      <c r="B188" s="100" t="str">
        <f t="shared" ref="B188:B193" si="45">Z57</f>
        <v>Bavette flanchet</v>
      </c>
      <c r="C188" s="99">
        <f t="shared" ref="C188:C193" si="46">AD57</f>
        <v>1.6199999999999999</v>
      </c>
    </row>
    <row r="189" spans="2:3" ht="12.75" customHeight="1">
      <c r="B189" s="100" t="str">
        <f t="shared" si="45"/>
        <v>Champignons</v>
      </c>
      <c r="C189" s="99">
        <f t="shared" si="46"/>
        <v>0.67499999999999993</v>
      </c>
    </row>
    <row r="190" spans="2:3" ht="12.75" customHeight="1">
      <c r="B190" s="100" t="str">
        <f t="shared" si="45"/>
        <v>Sce Roquefort</v>
      </c>
      <c r="C190" s="99">
        <f t="shared" si="46"/>
        <v>0.40499999999999997</v>
      </c>
    </row>
    <row r="191" spans="2:3" ht="12.75" customHeight="1">
      <c r="B191" s="100">
        <f t="shared" si="45"/>
        <v>0</v>
      </c>
      <c r="C191" s="99">
        <f t="shared" si="46"/>
        <v>0</v>
      </c>
    </row>
    <row r="192" spans="2:3" ht="12.75" customHeight="1">
      <c r="B192" s="100">
        <f t="shared" si="45"/>
        <v>0</v>
      </c>
      <c r="C192" s="99">
        <f t="shared" si="46"/>
        <v>0</v>
      </c>
    </row>
    <row r="193" spans="2:3" ht="12.75" customHeight="1">
      <c r="B193" s="100">
        <f t="shared" si="45"/>
        <v>0</v>
      </c>
      <c r="C193" s="99">
        <f t="shared" si="46"/>
        <v>0</v>
      </c>
    </row>
    <row r="194" spans="2:3" ht="12.75" customHeight="1">
      <c r="B194" s="100" t="str">
        <f t="shared" ref="B194:B199" si="47">Z67</f>
        <v>Saumon filet</v>
      </c>
      <c r="C194" s="99">
        <f t="shared" ref="C194:C199" si="48">AD67</f>
        <v>2.0789999999999997</v>
      </c>
    </row>
    <row r="195" spans="2:3" ht="12.75" customHeight="1">
      <c r="B195" s="100" t="str">
        <f t="shared" si="47"/>
        <v>Poireaux</v>
      </c>
      <c r="C195" s="99">
        <f t="shared" si="48"/>
        <v>0.40499999999999997</v>
      </c>
    </row>
    <row r="196" spans="2:3" ht="12.75" customHeight="1">
      <c r="B196" s="100" t="str">
        <f t="shared" si="47"/>
        <v>Créman</v>
      </c>
      <c r="C196" s="99">
        <f t="shared" si="48"/>
        <v>0.21599999999999997</v>
      </c>
    </row>
    <row r="197" spans="2:3" ht="12.75" customHeight="1">
      <c r="B197" s="100" t="str">
        <f t="shared" si="47"/>
        <v>Fumet poisson</v>
      </c>
      <c r="C197" s="99">
        <f t="shared" si="48"/>
        <v>0</v>
      </c>
    </row>
    <row r="198" spans="2:3" ht="12.75" customHeight="1">
      <c r="B198" s="100" t="str">
        <f t="shared" si="47"/>
        <v>Crème</v>
      </c>
      <c r="C198" s="99">
        <f t="shared" si="48"/>
        <v>0</v>
      </c>
    </row>
    <row r="199" spans="2:3" ht="12.75" customHeight="1">
      <c r="B199" s="100">
        <f t="shared" si="47"/>
        <v>0</v>
      </c>
      <c r="C199" s="99">
        <f t="shared" si="48"/>
        <v>0</v>
      </c>
    </row>
    <row r="200" spans="2:3" ht="12.75" customHeight="1">
      <c r="B200" s="100" t="str">
        <f t="shared" ref="B200:B205" si="49">AF7</f>
        <v>Dinde sauté</v>
      </c>
      <c r="C200" s="99">
        <f t="shared" ref="C200:C205" si="50">AJ7</f>
        <v>6.03</v>
      </c>
    </row>
    <row r="201" spans="2:3" ht="12.75" customHeight="1">
      <c r="B201" s="100" t="str">
        <f t="shared" si="49"/>
        <v>Carottes</v>
      </c>
      <c r="C201" s="99">
        <f t="shared" si="50"/>
        <v>0.54</v>
      </c>
    </row>
    <row r="202" spans="2:3" ht="12.75" customHeight="1">
      <c r="B202" s="100" t="str">
        <f t="shared" si="49"/>
        <v>Poireaux</v>
      </c>
      <c r="C202" s="99">
        <f t="shared" si="50"/>
        <v>0.54</v>
      </c>
    </row>
    <row r="203" spans="2:3" ht="12.75" customHeight="1">
      <c r="B203" s="100" t="str">
        <f t="shared" si="49"/>
        <v>Celeri</v>
      </c>
      <c r="C203" s="99">
        <f t="shared" si="50"/>
        <v>0.54</v>
      </c>
    </row>
    <row r="204" spans="2:3" ht="12.75" customHeight="1">
      <c r="B204" s="100" t="str">
        <f t="shared" si="49"/>
        <v>Champignons</v>
      </c>
      <c r="C204" s="99">
        <f t="shared" si="50"/>
        <v>0.80999999999999994</v>
      </c>
    </row>
    <row r="205" spans="2:3" ht="12.75" customHeight="1">
      <c r="B205" s="100" t="str">
        <f t="shared" si="49"/>
        <v>Oignons</v>
      </c>
      <c r="C205" s="99">
        <f t="shared" si="50"/>
        <v>0.54</v>
      </c>
    </row>
    <row r="206" spans="2:3" ht="12.75" customHeight="1">
      <c r="B206" s="100" t="str">
        <f t="shared" ref="B206:B211" si="51">AF17</f>
        <v>Dinde sauté</v>
      </c>
      <c r="C206" s="99">
        <f t="shared" ref="C206:C211" si="52">AJ17</f>
        <v>6.03</v>
      </c>
    </row>
    <row r="207" spans="2:3" ht="12.75" customHeight="1">
      <c r="B207" s="100" t="str">
        <f t="shared" si="51"/>
        <v>Carottes</v>
      </c>
      <c r="C207" s="99">
        <f t="shared" si="52"/>
        <v>0.54</v>
      </c>
    </row>
    <row r="208" spans="2:3" ht="12.75" customHeight="1">
      <c r="B208" s="100" t="str">
        <f t="shared" si="51"/>
        <v>Poireaux</v>
      </c>
      <c r="C208" s="99">
        <f t="shared" si="52"/>
        <v>0.54</v>
      </c>
    </row>
    <row r="209" spans="2:3" ht="12.75" customHeight="1">
      <c r="B209" s="100" t="str">
        <f t="shared" si="51"/>
        <v>Celeri</v>
      </c>
      <c r="C209" s="99">
        <f t="shared" si="52"/>
        <v>0.54</v>
      </c>
    </row>
    <row r="210" spans="2:3" ht="12.75" customHeight="1">
      <c r="B210" s="100" t="str">
        <f t="shared" si="51"/>
        <v>Champignons</v>
      </c>
      <c r="C210" s="99">
        <f t="shared" si="52"/>
        <v>0.80999999999999994</v>
      </c>
    </row>
    <row r="211" spans="2:3" ht="12.75" customHeight="1">
      <c r="B211" s="100" t="str">
        <f t="shared" si="51"/>
        <v>Oignons</v>
      </c>
      <c r="C211" s="99">
        <f t="shared" si="52"/>
        <v>0.54</v>
      </c>
    </row>
    <row r="212" spans="2:3" ht="12.75" customHeight="1">
      <c r="B212" s="100" t="str">
        <f t="shared" ref="B212:B217" si="53">AF27</f>
        <v>Dinde sauté</v>
      </c>
      <c r="C212" s="99">
        <f t="shared" ref="C212:C217" si="54">AJ27</f>
        <v>6.03</v>
      </c>
    </row>
    <row r="213" spans="2:3" ht="12.75" customHeight="1">
      <c r="B213" s="100" t="str">
        <f t="shared" si="53"/>
        <v>Carottes</v>
      </c>
      <c r="C213" s="99">
        <f t="shared" si="54"/>
        <v>0.54</v>
      </c>
    </row>
    <row r="214" spans="2:3" ht="12.75" customHeight="1">
      <c r="B214" s="100" t="str">
        <f t="shared" si="53"/>
        <v>Poireaux</v>
      </c>
      <c r="C214" s="99">
        <f t="shared" si="54"/>
        <v>0.54</v>
      </c>
    </row>
    <row r="215" spans="2:3" ht="12.75" customHeight="1">
      <c r="B215" s="100" t="str">
        <f t="shared" si="53"/>
        <v>Celeri</v>
      </c>
      <c r="C215" s="99">
        <f t="shared" si="54"/>
        <v>0.54</v>
      </c>
    </row>
    <row r="216" spans="2:3" ht="12.75" customHeight="1">
      <c r="B216" s="100" t="str">
        <f t="shared" si="53"/>
        <v>Champignons</v>
      </c>
      <c r="C216" s="99">
        <f t="shared" si="54"/>
        <v>0.80999999999999994</v>
      </c>
    </row>
    <row r="217" spans="2:3" ht="12.75" customHeight="1">
      <c r="B217" s="100" t="str">
        <f t="shared" si="53"/>
        <v>Oignons</v>
      </c>
      <c r="C217" s="99">
        <f t="shared" si="54"/>
        <v>0.54</v>
      </c>
    </row>
    <row r="218" spans="2:3" ht="12.75" customHeight="1">
      <c r="B218" s="100" t="str">
        <f t="shared" ref="B218:B223" si="55">AF37</f>
        <v>Dinde sauté</v>
      </c>
      <c r="C218" s="99">
        <f t="shared" ref="C218:C223" si="56">AJ37</f>
        <v>6.03</v>
      </c>
    </row>
    <row r="219" spans="2:3" ht="12.75" customHeight="1">
      <c r="B219" s="100" t="str">
        <f t="shared" si="55"/>
        <v>Carottes</v>
      </c>
      <c r="C219" s="99">
        <f t="shared" si="56"/>
        <v>0.54</v>
      </c>
    </row>
    <row r="220" spans="2:3" ht="12.75" customHeight="1">
      <c r="B220" s="100" t="str">
        <f t="shared" si="55"/>
        <v>Poireaux</v>
      </c>
      <c r="C220" s="99">
        <f t="shared" si="56"/>
        <v>0.54</v>
      </c>
    </row>
    <row r="221" spans="2:3" ht="12.75" customHeight="1">
      <c r="B221" s="100" t="str">
        <f t="shared" si="55"/>
        <v>Celeri</v>
      </c>
      <c r="C221" s="99">
        <f t="shared" si="56"/>
        <v>0.54</v>
      </c>
    </row>
    <row r="222" spans="2:3" ht="12.75" customHeight="1">
      <c r="B222" s="100" t="str">
        <f t="shared" si="55"/>
        <v>Champignons</v>
      </c>
      <c r="C222" s="99">
        <f t="shared" si="56"/>
        <v>0.80999999999999994</v>
      </c>
    </row>
    <row r="223" spans="2:3" ht="12.75" customHeight="1">
      <c r="B223" s="100" t="str">
        <f t="shared" si="55"/>
        <v>Oignons</v>
      </c>
      <c r="C223" s="99">
        <f t="shared" si="56"/>
        <v>0.54</v>
      </c>
    </row>
    <row r="224" spans="2:3" ht="12.75" customHeight="1">
      <c r="B224" s="100" t="str">
        <f t="shared" ref="B224:B229" si="57">AF47</f>
        <v>Dinde sauté</v>
      </c>
      <c r="C224" s="99">
        <f t="shared" ref="C224:C229" si="58">AJ47</f>
        <v>6.03</v>
      </c>
    </row>
    <row r="225" spans="2:3" ht="12.75" customHeight="1">
      <c r="B225" s="100" t="str">
        <f t="shared" si="57"/>
        <v>Carottes</v>
      </c>
      <c r="C225" s="99">
        <f t="shared" si="58"/>
        <v>0.54</v>
      </c>
    </row>
    <row r="226" spans="2:3" ht="12.75" customHeight="1">
      <c r="B226" s="100" t="str">
        <f t="shared" si="57"/>
        <v>Poireaux</v>
      </c>
      <c r="C226" s="99">
        <f t="shared" si="58"/>
        <v>0.54</v>
      </c>
    </row>
    <row r="227" spans="2:3" ht="12.75" customHeight="1">
      <c r="B227" s="100" t="str">
        <f t="shared" si="57"/>
        <v>Celeri</v>
      </c>
      <c r="C227" s="99">
        <f t="shared" si="58"/>
        <v>0.54</v>
      </c>
    </row>
    <row r="228" spans="2:3" ht="12.75" customHeight="1">
      <c r="B228" s="100" t="str">
        <f t="shared" si="57"/>
        <v>Champignons</v>
      </c>
      <c r="C228" s="99">
        <f t="shared" si="58"/>
        <v>0.80999999999999994</v>
      </c>
    </row>
    <row r="229" spans="2:3" ht="12.75" customHeight="1">
      <c r="B229" s="100" t="str">
        <f t="shared" si="57"/>
        <v>Oignons</v>
      </c>
      <c r="C229" s="99">
        <f t="shared" si="58"/>
        <v>0.54</v>
      </c>
    </row>
    <row r="230" spans="2:3" ht="12.75" customHeight="1">
      <c r="B230" s="100" t="str">
        <f t="shared" ref="B230:B235" si="59">AF57</f>
        <v>Dinde sauté</v>
      </c>
      <c r="C230" s="99">
        <f t="shared" ref="C230:C235" si="60">AJ57</f>
        <v>6.03</v>
      </c>
    </row>
    <row r="231" spans="2:3" ht="12.75" customHeight="1">
      <c r="B231" s="100" t="str">
        <f t="shared" si="59"/>
        <v>Carottes</v>
      </c>
      <c r="C231" s="99">
        <f t="shared" si="60"/>
        <v>0.54</v>
      </c>
    </row>
    <row r="232" spans="2:3" ht="12.75" customHeight="1">
      <c r="B232" s="100" t="str">
        <f t="shared" si="59"/>
        <v>Poireaux</v>
      </c>
      <c r="C232" s="99">
        <f t="shared" si="60"/>
        <v>0.54</v>
      </c>
    </row>
    <row r="233" spans="2:3" ht="12.75" customHeight="1">
      <c r="B233" s="100" t="str">
        <f t="shared" si="59"/>
        <v>Celeri</v>
      </c>
      <c r="C233" s="99">
        <f t="shared" si="60"/>
        <v>0.54</v>
      </c>
    </row>
    <row r="234" spans="2:3" ht="12.75" customHeight="1">
      <c r="B234" s="100" t="str">
        <f t="shared" si="59"/>
        <v>Champignons</v>
      </c>
      <c r="C234" s="99">
        <f t="shared" si="60"/>
        <v>0.80999999999999994</v>
      </c>
    </row>
    <row r="235" spans="2:3" ht="12.75" customHeight="1">
      <c r="B235" s="100" t="str">
        <f t="shared" si="59"/>
        <v>Oignons</v>
      </c>
      <c r="C235" s="99">
        <f t="shared" si="60"/>
        <v>0.54</v>
      </c>
    </row>
    <row r="236" spans="2:3" ht="12.75" customHeight="1">
      <c r="B236" s="100" t="str">
        <f t="shared" ref="B236:B241" si="61">AF67</f>
        <v>Dinde sauté</v>
      </c>
      <c r="C236" s="99">
        <f t="shared" ref="C236:C241" si="62">AJ67</f>
        <v>6.03</v>
      </c>
    </row>
    <row r="237" spans="2:3" ht="12.75" customHeight="1">
      <c r="B237" s="100" t="str">
        <f t="shared" si="61"/>
        <v>Carottes</v>
      </c>
      <c r="C237" s="99">
        <f t="shared" si="62"/>
        <v>0.54</v>
      </c>
    </row>
    <row r="238" spans="2:3" ht="12.75" customHeight="1">
      <c r="B238" s="100" t="str">
        <f t="shared" si="61"/>
        <v>Poireaux</v>
      </c>
      <c r="C238" s="99">
        <f t="shared" si="62"/>
        <v>0.54</v>
      </c>
    </row>
    <row r="239" spans="2:3" ht="12.75" customHeight="1">
      <c r="B239" s="100" t="str">
        <f t="shared" si="61"/>
        <v>Celeri</v>
      </c>
      <c r="C239" s="99">
        <f t="shared" si="62"/>
        <v>0.54</v>
      </c>
    </row>
    <row r="240" spans="2:3" ht="12.75" customHeight="1">
      <c r="B240" s="100" t="str">
        <f t="shared" si="61"/>
        <v>Champignons</v>
      </c>
      <c r="C240" s="99">
        <f t="shared" si="62"/>
        <v>0.80999999999999994</v>
      </c>
    </row>
    <row r="241" spans="2:3" ht="12.75" customHeight="1">
      <c r="B241" s="100" t="str">
        <f t="shared" si="61"/>
        <v>Oignons</v>
      </c>
      <c r="C241" s="99">
        <f t="shared" si="62"/>
        <v>0.54</v>
      </c>
    </row>
    <row r="242" spans="2:3" ht="12.75" customHeight="1">
      <c r="B242" s="100" t="str">
        <f t="shared" ref="B242:B247" si="63">AL7</f>
        <v>Epinard</v>
      </c>
      <c r="C242" s="99">
        <f t="shared" ref="C242:C247" si="64">AP7</f>
        <v>3.12</v>
      </c>
    </row>
    <row r="243" spans="2:3" ht="12.75" customHeight="1">
      <c r="B243" s="100" t="str">
        <f t="shared" si="63"/>
        <v>Bechamel</v>
      </c>
      <c r="C243" s="99">
        <f t="shared" si="64"/>
        <v>0.78</v>
      </c>
    </row>
    <row r="244" spans="2:3" ht="12.75" customHeight="1">
      <c r="B244" s="100">
        <f t="shared" si="63"/>
        <v>0</v>
      </c>
      <c r="C244" s="99">
        <f t="shared" si="64"/>
        <v>0</v>
      </c>
    </row>
    <row r="245" spans="2:3" ht="12.75" customHeight="1">
      <c r="B245" s="100">
        <f t="shared" si="63"/>
        <v>0</v>
      </c>
      <c r="C245" s="99">
        <f t="shared" si="64"/>
        <v>0</v>
      </c>
    </row>
    <row r="246" spans="2:3" ht="12.75" customHeight="1">
      <c r="B246" s="100">
        <f t="shared" si="63"/>
        <v>0</v>
      </c>
      <c r="C246" s="99">
        <f t="shared" si="64"/>
        <v>0</v>
      </c>
    </row>
    <row r="247" spans="2:3" ht="12.75" customHeight="1">
      <c r="B247" s="100">
        <f t="shared" si="63"/>
        <v>0</v>
      </c>
      <c r="C247" s="99">
        <f t="shared" si="64"/>
        <v>0</v>
      </c>
    </row>
    <row r="248" spans="2:3" ht="12.75" customHeight="1">
      <c r="B248" s="100" t="str">
        <f t="shared" ref="B248:B253" si="65">AL17</f>
        <v>Porc sauté</v>
      </c>
      <c r="C248" s="99">
        <f t="shared" ref="C248:C253" si="66">AP17</f>
        <v>2.5350000000000001</v>
      </c>
    </row>
    <row r="249" spans="2:3" ht="12.75" customHeight="1">
      <c r="B249" s="100" t="str">
        <f t="shared" si="65"/>
        <v>Tomates concassées</v>
      </c>
      <c r="C249" s="99">
        <f t="shared" si="66"/>
        <v>1.365</v>
      </c>
    </row>
    <row r="250" spans="2:3" ht="12.75" customHeight="1">
      <c r="B250" s="100" t="str">
        <f t="shared" si="65"/>
        <v>Ail</v>
      </c>
      <c r="C250" s="99">
        <f t="shared" si="66"/>
        <v>0</v>
      </c>
    </row>
    <row r="251" spans="2:3" ht="12.75" customHeight="1">
      <c r="B251" s="100" t="str">
        <f t="shared" si="65"/>
        <v>Curcuma</v>
      </c>
      <c r="C251" s="99">
        <f t="shared" si="66"/>
        <v>0</v>
      </c>
    </row>
    <row r="252" spans="2:3" ht="12.75" customHeight="1">
      <c r="B252" s="100" t="str">
        <f t="shared" si="65"/>
        <v>Gingembre frais</v>
      </c>
      <c r="C252" s="99">
        <f t="shared" si="66"/>
        <v>0</v>
      </c>
    </row>
    <row r="253" spans="2:3" ht="12.75" customHeight="1">
      <c r="B253" s="100" t="str">
        <f t="shared" si="65"/>
        <v>Thym</v>
      </c>
      <c r="C253" s="99">
        <f t="shared" si="66"/>
        <v>0</v>
      </c>
    </row>
    <row r="254" spans="2:3" ht="12.75" customHeight="1">
      <c r="B254" s="100" t="str">
        <f t="shared" ref="B254:B259" si="67">AL27</f>
        <v>Choux Bruxelles</v>
      </c>
      <c r="C254" s="99">
        <f t="shared" ref="C254:C259" si="68">AP27</f>
        <v>3.12</v>
      </c>
    </row>
    <row r="255" spans="2:3" ht="12.75" customHeight="1">
      <c r="B255" s="100" t="str">
        <f t="shared" si="67"/>
        <v>Carottes</v>
      </c>
      <c r="C255" s="99">
        <f t="shared" si="68"/>
        <v>0.39</v>
      </c>
    </row>
    <row r="256" spans="2:3" ht="12.75" customHeight="1">
      <c r="B256" s="100" t="str">
        <f t="shared" si="67"/>
        <v>Oignons</v>
      </c>
      <c r="C256" s="99">
        <f t="shared" si="68"/>
        <v>0.39</v>
      </c>
    </row>
    <row r="257" spans="2:3" ht="12.75" customHeight="1">
      <c r="B257" s="100" t="str">
        <f t="shared" si="67"/>
        <v>Bouillon de volaille</v>
      </c>
      <c r="C257" s="99">
        <f t="shared" si="68"/>
        <v>0</v>
      </c>
    </row>
    <row r="258" spans="2:3" ht="12.75" customHeight="1">
      <c r="B258" s="100">
        <f t="shared" si="67"/>
        <v>0</v>
      </c>
      <c r="C258" s="99">
        <f t="shared" si="68"/>
        <v>0</v>
      </c>
    </row>
    <row r="259" spans="2:3" ht="12.75" customHeight="1">
      <c r="B259" s="100">
        <f t="shared" si="67"/>
        <v>0</v>
      </c>
      <c r="C259" s="99">
        <f t="shared" si="68"/>
        <v>0</v>
      </c>
    </row>
    <row r="260" spans="2:3" ht="12.75" customHeight="1">
      <c r="B260" s="100" t="str">
        <f t="shared" ref="B260:B265" si="69">AL37</f>
        <v>Saucisse fumée</v>
      </c>
      <c r="C260" s="99">
        <f t="shared" ref="C260:C265" si="70">AP37</f>
        <v>1.56</v>
      </c>
    </row>
    <row r="261" spans="2:3" ht="12.75" customHeight="1">
      <c r="B261" s="100" t="str">
        <f t="shared" si="69"/>
        <v>Poivron R/V</v>
      </c>
      <c r="C261" s="99">
        <f t="shared" si="70"/>
        <v>0.78</v>
      </c>
    </row>
    <row r="262" spans="2:3" ht="12.75" customHeight="1">
      <c r="B262" s="100" t="str">
        <f t="shared" si="69"/>
        <v>Concassé</v>
      </c>
      <c r="C262" s="99">
        <f t="shared" si="70"/>
        <v>1.17</v>
      </c>
    </row>
    <row r="263" spans="2:3" ht="12.75" customHeight="1">
      <c r="B263" s="100" t="str">
        <f t="shared" si="69"/>
        <v>Oignon</v>
      </c>
      <c r="C263" s="99">
        <f t="shared" si="70"/>
        <v>0.39</v>
      </c>
    </row>
    <row r="264" spans="2:3" ht="12.75" customHeight="1">
      <c r="B264" s="100" t="str">
        <f t="shared" si="69"/>
        <v>Ail / Paprika / Gingembre</v>
      </c>
      <c r="C264" s="99">
        <f t="shared" si="70"/>
        <v>0</v>
      </c>
    </row>
    <row r="265" spans="2:3" ht="12.75" customHeight="1">
      <c r="B265" s="100">
        <f t="shared" si="69"/>
        <v>0</v>
      </c>
      <c r="C265" s="99">
        <f t="shared" si="70"/>
        <v>0</v>
      </c>
    </row>
    <row r="266" spans="2:3" ht="12.75" customHeight="1">
      <c r="B266" s="100" t="str">
        <f t="shared" ref="B266:B271" si="71">AL47</f>
        <v>Saucisse fumée</v>
      </c>
      <c r="C266" s="99">
        <f t="shared" ref="C266:C271" si="72">AP47</f>
        <v>1.56</v>
      </c>
    </row>
    <row r="267" spans="2:3" ht="12.75" customHeight="1">
      <c r="B267" s="100" t="str">
        <f t="shared" si="71"/>
        <v>Poivron R/V</v>
      </c>
      <c r="C267" s="99">
        <f t="shared" si="72"/>
        <v>0.78</v>
      </c>
    </row>
    <row r="268" spans="2:3" ht="12.75" customHeight="1">
      <c r="B268" s="100" t="str">
        <f t="shared" si="71"/>
        <v>Concassé</v>
      </c>
      <c r="C268" s="99">
        <f t="shared" si="72"/>
        <v>1.17</v>
      </c>
    </row>
    <row r="269" spans="2:3" ht="12.75" customHeight="1">
      <c r="B269" s="100" t="str">
        <f t="shared" si="71"/>
        <v>Oignon</v>
      </c>
      <c r="C269" s="99">
        <f t="shared" si="72"/>
        <v>0.39</v>
      </c>
    </row>
    <row r="270" spans="2:3" ht="12.75" customHeight="1">
      <c r="B270" s="100" t="str">
        <f t="shared" si="71"/>
        <v>Ail / Paprika / Gingembre</v>
      </c>
      <c r="C270" s="99">
        <f t="shared" si="72"/>
        <v>0</v>
      </c>
    </row>
    <row r="271" spans="2:3" ht="12.75" customHeight="1">
      <c r="B271" s="100">
        <f t="shared" si="71"/>
        <v>0</v>
      </c>
      <c r="C271" s="99">
        <f t="shared" si="72"/>
        <v>0</v>
      </c>
    </row>
    <row r="272" spans="2:3" ht="12.75" customHeight="1">
      <c r="B272" s="100" t="str">
        <f t="shared" ref="B272:B277" si="73">AL57</f>
        <v>Pâte lasagne</v>
      </c>
      <c r="C272" s="99">
        <f t="shared" ref="C272:C277" si="74">AP57</f>
        <v>0.50700000000000001</v>
      </c>
    </row>
    <row r="273" spans="2:3" ht="12.75" customHeight="1">
      <c r="B273" s="100" t="str">
        <f t="shared" si="73"/>
        <v>Chèvre buche</v>
      </c>
      <c r="C273" s="99">
        <f t="shared" si="74"/>
        <v>0.35099999999999998</v>
      </c>
    </row>
    <row r="274" spans="2:3" ht="12.75" customHeight="1">
      <c r="B274" s="100" t="str">
        <f t="shared" si="73"/>
        <v>Courgettes</v>
      </c>
      <c r="C274" s="99">
        <f t="shared" si="74"/>
        <v>1.677</v>
      </c>
    </row>
    <row r="275" spans="2:3" ht="12.75" customHeight="1">
      <c r="B275" s="100" t="str">
        <f t="shared" si="73"/>
        <v>Béchamel</v>
      </c>
      <c r="C275" s="99">
        <f t="shared" si="74"/>
        <v>0.97499999999999998</v>
      </c>
    </row>
    <row r="276" spans="2:3" ht="12.75" customHeight="1">
      <c r="B276" s="100" t="str">
        <f t="shared" si="73"/>
        <v>Sce napo</v>
      </c>
      <c r="C276" s="99">
        <f t="shared" si="74"/>
        <v>0.19500000000000001</v>
      </c>
    </row>
    <row r="277" spans="2:3" ht="12.75" customHeight="1">
      <c r="B277" s="100" t="str">
        <f t="shared" si="73"/>
        <v>Estrèmo</v>
      </c>
      <c r="C277" s="99">
        <f t="shared" si="74"/>
        <v>0.19500000000000001</v>
      </c>
    </row>
    <row r="278" spans="2:3" ht="12.75" customHeight="1">
      <c r="B278" s="100" t="str">
        <f t="shared" ref="B278:B283" si="75">AL67</f>
        <v>Boudin noir</v>
      </c>
      <c r="C278" s="99">
        <f t="shared" ref="C278:C283" si="76">AP67</f>
        <v>2.1059999999999999</v>
      </c>
    </row>
    <row r="279" spans="2:3" ht="12.75" customHeight="1">
      <c r="B279" s="100" t="str">
        <f t="shared" si="75"/>
        <v>Pommes Golden</v>
      </c>
      <c r="C279" s="99">
        <f t="shared" si="76"/>
        <v>1.365</v>
      </c>
    </row>
    <row r="280" spans="2:3" ht="12.75" customHeight="1">
      <c r="B280" s="100" t="str">
        <f t="shared" si="75"/>
        <v>Echalotes</v>
      </c>
      <c r="C280" s="99">
        <f t="shared" si="76"/>
        <v>0.39</v>
      </c>
    </row>
    <row r="281" spans="2:3" ht="12.75" customHeight="1">
      <c r="B281" s="100" t="str">
        <f t="shared" si="75"/>
        <v>Sel</v>
      </c>
      <c r="C281" s="99">
        <f t="shared" si="76"/>
        <v>3.9E-2</v>
      </c>
    </row>
    <row r="282" spans="2:3" ht="12.75" customHeight="1">
      <c r="B282" s="100">
        <f t="shared" si="75"/>
        <v>0</v>
      </c>
      <c r="C282" s="99">
        <f t="shared" si="76"/>
        <v>0</v>
      </c>
    </row>
    <row r="283" spans="2:3" ht="12.75" customHeight="1">
      <c r="B283" s="100">
        <f t="shared" si="75"/>
        <v>0</v>
      </c>
      <c r="C283" s="99">
        <f t="shared" si="76"/>
        <v>0</v>
      </c>
    </row>
    <row r="284" spans="2:3" ht="12.75" customHeight="1">
      <c r="B284" s="98" t="str">
        <f>AR7</f>
        <v>Steak haché</v>
      </c>
      <c r="C284" s="99">
        <f>AV7</f>
        <v>6.3000000000000007</v>
      </c>
    </row>
    <row r="285" spans="2:3" ht="12.75" customHeight="1">
      <c r="B285" s="98" t="str">
        <f>AR12</f>
        <v>Bavette flanchet</v>
      </c>
      <c r="C285" s="99">
        <f>AV12</f>
        <v>7.5</v>
      </c>
    </row>
    <row r="286" spans="2:3" ht="12.75" customHeight="1">
      <c r="B286" s="98" t="str">
        <f>AR17</f>
        <v>Steak haché</v>
      </c>
      <c r="C286" s="99">
        <f>AV17</f>
        <v>7.5</v>
      </c>
    </row>
    <row r="287" spans="2:3" ht="12.75" customHeight="1">
      <c r="B287" s="98" t="str">
        <f>AR22</f>
        <v>Bavette flanchet</v>
      </c>
      <c r="C287" s="99">
        <f>AV22</f>
        <v>7.5</v>
      </c>
    </row>
    <row r="288" spans="2:3" ht="12.75" customHeight="1">
      <c r="B288" s="98" t="str">
        <f>AR27</f>
        <v>Steak haché</v>
      </c>
      <c r="C288" s="99">
        <f>AV27</f>
        <v>7.5</v>
      </c>
    </row>
    <row r="289" spans="2:3" ht="12.75" customHeight="1">
      <c r="B289" s="98" t="str">
        <f>AR32</f>
        <v>Bavette flanchet</v>
      </c>
      <c r="C289" s="99">
        <f>AV32</f>
        <v>7.5</v>
      </c>
    </row>
    <row r="290" spans="2:3" ht="12.75" customHeight="1">
      <c r="B290" s="98" t="str">
        <f>AR37</f>
        <v>Steak haché</v>
      </c>
      <c r="C290" s="99">
        <f>AV37</f>
        <v>7.5</v>
      </c>
    </row>
    <row r="291" spans="2:3" ht="12.75" customHeight="1">
      <c r="B291" s="98" t="str">
        <f>AR42</f>
        <v>Bavette flanchet</v>
      </c>
      <c r="C291" s="99">
        <f>AV42</f>
        <v>7.5</v>
      </c>
    </row>
    <row r="292" spans="2:3" ht="12.75" customHeight="1">
      <c r="B292" s="98" t="str">
        <f>AR47</f>
        <v>Steak haché</v>
      </c>
      <c r="C292" s="99">
        <f>AV47</f>
        <v>7.5</v>
      </c>
    </row>
    <row r="293" spans="2:3" ht="12.75" customHeight="1">
      <c r="B293" s="98" t="str">
        <f>AR52</f>
        <v>Bavette flanchet</v>
      </c>
      <c r="C293" s="99">
        <f>AV52</f>
        <v>7.5</v>
      </c>
    </row>
    <row r="294" spans="2:3" ht="12.75" customHeight="1">
      <c r="B294" s="98" t="str">
        <f>AR57</f>
        <v>Steak haché</v>
      </c>
      <c r="C294" s="99">
        <f>AV57</f>
        <v>7.5</v>
      </c>
    </row>
    <row r="295" spans="2:3" ht="12.75" customHeight="1">
      <c r="B295" s="98" t="str">
        <f>AR62</f>
        <v>Bavette flanchet</v>
      </c>
      <c r="C295" s="99">
        <f>AV62</f>
        <v>7.5</v>
      </c>
    </row>
    <row r="296" spans="2:3" ht="12.75" customHeight="1">
      <c r="B296" s="98" t="str">
        <f>AR67</f>
        <v>Steak haché</v>
      </c>
      <c r="C296" s="99">
        <f>AV67</f>
        <v>7.5</v>
      </c>
    </row>
    <row r="297" spans="2:3" ht="12.75" customHeight="1">
      <c r="B297" s="98" t="str">
        <f>AR72</f>
        <v>Bavette flanchet</v>
      </c>
      <c r="C297" s="99">
        <f>AV72</f>
        <v>7.5</v>
      </c>
    </row>
    <row r="298" spans="2:3" ht="12.75" customHeight="1">
      <c r="B298" s="98" t="str">
        <f>AX7</f>
        <v>Frites</v>
      </c>
      <c r="C298" s="99">
        <f>BB7</f>
        <v>36</v>
      </c>
    </row>
    <row r="299" spans="2:3" ht="12.75" customHeight="1">
      <c r="B299" s="98" t="str">
        <f>AX12</f>
        <v>Bun's</v>
      </c>
      <c r="C299" s="99">
        <f>BB12</f>
        <v>2.6999999999999993</v>
      </c>
    </row>
    <row r="300" spans="2:3" ht="12.75" customHeight="1">
      <c r="B300" s="98" t="str">
        <f>AX17</f>
        <v>Frites</v>
      </c>
      <c r="C300" s="99">
        <f>BB17</f>
        <v>36</v>
      </c>
    </row>
    <row r="301" spans="2:3" ht="12.75" customHeight="1">
      <c r="B301" s="98" t="str">
        <f>AX22</f>
        <v>Bun's</v>
      </c>
      <c r="C301" s="99">
        <f>BB22</f>
        <v>2.6999999999999993</v>
      </c>
    </row>
    <row r="302" spans="2:3" ht="12.75" customHeight="1">
      <c r="B302" s="98" t="str">
        <f>AX27</f>
        <v>Frites</v>
      </c>
      <c r="C302" s="99">
        <f>BB27</f>
        <v>36</v>
      </c>
    </row>
    <row r="303" spans="2:3" ht="12.75" customHeight="1">
      <c r="B303" s="98" t="str">
        <f>AX32</f>
        <v>Bun's</v>
      </c>
      <c r="C303" s="99">
        <f>BB32</f>
        <v>2.6999999999999993</v>
      </c>
    </row>
    <row r="304" spans="2:3" ht="12.75" customHeight="1">
      <c r="B304" s="98" t="str">
        <f>AX37</f>
        <v>Frites</v>
      </c>
      <c r="C304" s="99">
        <f>BB37</f>
        <v>36</v>
      </c>
    </row>
    <row r="305" spans="2:3" ht="12.75" customHeight="1">
      <c r="B305" s="98" t="str">
        <f>AX42</f>
        <v>Bun's</v>
      </c>
      <c r="C305" s="99">
        <f>BB42</f>
        <v>2.6999999999999993</v>
      </c>
    </row>
    <row r="306" spans="2:3" ht="12.75" customHeight="1">
      <c r="B306" s="98" t="str">
        <f>AX47</f>
        <v>Frites</v>
      </c>
      <c r="C306" s="99">
        <f>BB47</f>
        <v>36</v>
      </c>
    </row>
    <row r="307" spans="2:3" ht="12.75" customHeight="1">
      <c r="B307" s="98" t="str">
        <f>AX52</f>
        <v>Bun's</v>
      </c>
      <c r="C307" s="99">
        <f>BB52</f>
        <v>2.6999999999999993</v>
      </c>
    </row>
    <row r="308" spans="2:3" ht="12.75" customHeight="1">
      <c r="B308" s="98" t="str">
        <f>AX57</f>
        <v>Frites</v>
      </c>
      <c r="C308" s="99">
        <f>BB57</f>
        <v>36</v>
      </c>
    </row>
    <row r="309" spans="2:3" ht="12.75" customHeight="1">
      <c r="B309" s="98" t="str">
        <f>AX62</f>
        <v>Bun's</v>
      </c>
      <c r="C309" s="99">
        <f>BB62</f>
        <v>2.6999999999999993</v>
      </c>
    </row>
    <row r="310" spans="2:3" ht="12.75" customHeight="1">
      <c r="B310" s="98" t="str">
        <f>AX67</f>
        <v>Frites</v>
      </c>
      <c r="C310" s="99">
        <f>BB67</f>
        <v>36</v>
      </c>
    </row>
    <row r="311" spans="2:3" ht="12.75" customHeight="1">
      <c r="B311" s="98" t="str">
        <f>AX72</f>
        <v>Bun's</v>
      </c>
      <c r="C311" s="99">
        <f>BB72</f>
        <v>2.6999999999999993</v>
      </c>
    </row>
    <row r="312" spans="2:3" ht="12.75" customHeight="1">
      <c r="B312" s="98" t="str">
        <f>BD7</f>
        <v>Riz</v>
      </c>
      <c r="C312" s="99">
        <f>BH7</f>
        <v>1.7999999999999998</v>
      </c>
    </row>
    <row r="313" spans="2:3" ht="12.75" customHeight="1">
      <c r="B313" s="98" t="str">
        <f>BD12</f>
        <v>PDT</v>
      </c>
      <c r="C313" s="99">
        <f>BH12</f>
        <v>6.3000000000000007</v>
      </c>
    </row>
    <row r="314" spans="2:3" ht="12.75" customHeight="1">
      <c r="B314" s="98" t="str">
        <f>BD17</f>
        <v>Riz</v>
      </c>
      <c r="C314" s="99">
        <f>BH17</f>
        <v>1.7999999999999998</v>
      </c>
    </row>
    <row r="315" spans="2:3" ht="12.75" customHeight="1">
      <c r="B315" s="98" t="str">
        <f>BD22</f>
        <v>PDT</v>
      </c>
      <c r="C315" s="99">
        <f>BH22</f>
        <v>6.3000000000000007</v>
      </c>
    </row>
    <row r="316" spans="2:3" ht="12.75" customHeight="1">
      <c r="B316" s="98" t="str">
        <f>BD27</f>
        <v>Riz</v>
      </c>
      <c r="C316" s="99">
        <f>BH27</f>
        <v>1.7999999999999998</v>
      </c>
    </row>
    <row r="317" spans="2:3" ht="12.75" customHeight="1">
      <c r="B317" s="98" t="str">
        <f>BD32</f>
        <v>PDT</v>
      </c>
      <c r="C317" s="99">
        <f>BH32</f>
        <v>6.3000000000000007</v>
      </c>
    </row>
    <row r="318" spans="2:3" ht="12.75" customHeight="1">
      <c r="B318" s="98" t="str">
        <f>BD37</f>
        <v>Riz</v>
      </c>
      <c r="C318" s="99">
        <f>BH37</f>
        <v>1.7999999999999998</v>
      </c>
    </row>
    <row r="319" spans="2:3" ht="12.75" customHeight="1">
      <c r="B319" s="98" t="str">
        <f>BD42</f>
        <v>PDT</v>
      </c>
      <c r="C319" s="99">
        <f>BH42</f>
        <v>6.3000000000000007</v>
      </c>
    </row>
    <row r="320" spans="2:3" ht="12.75" customHeight="1">
      <c r="B320" s="98" t="str">
        <f>BD47</f>
        <v>Riz</v>
      </c>
      <c r="C320" s="99">
        <f>BH47</f>
        <v>1.7999999999999998</v>
      </c>
    </row>
    <row r="321" spans="2:3" ht="12.75" customHeight="1">
      <c r="B321" s="98" t="str">
        <f>BD52</f>
        <v>PDT</v>
      </c>
      <c r="C321" s="99">
        <f>BH52</f>
        <v>6.3000000000000007</v>
      </c>
    </row>
    <row r="322" spans="2:3" ht="12.75" customHeight="1">
      <c r="B322" s="98" t="str">
        <f>BD57</f>
        <v>Riz</v>
      </c>
      <c r="C322" s="99">
        <f>BH57</f>
        <v>1.7999999999999998</v>
      </c>
    </row>
    <row r="323" spans="2:3" ht="12.75" customHeight="1">
      <c r="B323" s="98" t="str">
        <f>BD62</f>
        <v>PDT</v>
      </c>
      <c r="C323" s="99">
        <f>BH62</f>
        <v>6.3000000000000007</v>
      </c>
    </row>
    <row r="324" spans="2:3" ht="12.75" customHeight="1">
      <c r="B324" s="98" t="str">
        <f>BD67</f>
        <v>Riz</v>
      </c>
      <c r="C324" s="99">
        <f>BH67</f>
        <v>1.7999999999999998</v>
      </c>
    </row>
    <row r="325" spans="2:3" ht="12.75" customHeight="1">
      <c r="B325" s="98" t="str">
        <f>BD72</f>
        <v>PDT</v>
      </c>
      <c r="C325" s="99">
        <f>BH72</f>
        <v>6.3000000000000007</v>
      </c>
    </row>
    <row r="326" spans="2:3" ht="12.75" customHeight="1">
      <c r="B326" s="100" t="str">
        <f>H12</f>
        <v>Lamelle encornet</v>
      </c>
      <c r="C326" s="99">
        <f>SUM(L12+L22+L32+L42+L52+L62+L72)</f>
        <v>44.100000000000009</v>
      </c>
    </row>
    <row r="327" spans="2:3" ht="12.75" customHeight="1">
      <c r="B327" s="100" t="str">
        <f>H67</f>
        <v>Ingr1</v>
      </c>
      <c r="C327" s="99">
        <f>SUM(L7+L17+L27+L37+L47+L57+L67)</f>
        <v>27.299999999999997</v>
      </c>
    </row>
  </sheetData>
  <mergeCells count="515">
    <mergeCell ref="BH47:BI47"/>
    <mergeCell ref="R47:S47"/>
    <mergeCell ref="X47:Y47"/>
    <mergeCell ref="AD47:AE47"/>
    <mergeCell ref="AJ47:AK47"/>
    <mergeCell ref="BD52:BF52"/>
    <mergeCell ref="BH52:BI52"/>
    <mergeCell ref="B52:E52"/>
    <mergeCell ref="F52:G52"/>
    <mergeCell ref="L52:M52"/>
    <mergeCell ref="AJ52:AK52"/>
    <mergeCell ref="AV52:AW52"/>
    <mergeCell ref="AX52:AZ52"/>
    <mergeCell ref="BB52:BC52"/>
    <mergeCell ref="AP47:AQ47"/>
    <mergeCell ref="AR47:AT47"/>
    <mergeCell ref="AV47:AW47"/>
    <mergeCell ref="BD47:BF47"/>
    <mergeCell ref="R52:S52"/>
    <mergeCell ref="AD49:AE49"/>
    <mergeCell ref="AD50:AE50"/>
    <mergeCell ref="AD52:AE52"/>
    <mergeCell ref="AP49:AQ49"/>
    <mergeCell ref="AP50:AQ50"/>
    <mergeCell ref="AL43:AQ43"/>
    <mergeCell ref="AR43:AW43"/>
    <mergeCell ref="AX43:BC43"/>
    <mergeCell ref="BD43:BI43"/>
    <mergeCell ref="B43:C43"/>
    <mergeCell ref="D43:E43"/>
    <mergeCell ref="H43:M43"/>
    <mergeCell ref="N43:S43"/>
    <mergeCell ref="T43:Y43"/>
    <mergeCell ref="Z43:AE43"/>
    <mergeCell ref="AF43:AK43"/>
    <mergeCell ref="B46:D46"/>
    <mergeCell ref="E46:F46"/>
    <mergeCell ref="G46:G47"/>
    <mergeCell ref="B47:D47"/>
    <mergeCell ref="E47:F47"/>
    <mergeCell ref="H47:J47"/>
    <mergeCell ref="L47:M47"/>
    <mergeCell ref="AX47:AZ47"/>
    <mergeCell ref="BB47:BC47"/>
    <mergeCell ref="AD41:AE41"/>
    <mergeCell ref="AD42:AE42"/>
    <mergeCell ref="AP40:AQ40"/>
    <mergeCell ref="AP41:AQ41"/>
    <mergeCell ref="AP42:AQ42"/>
    <mergeCell ref="BD42:BF42"/>
    <mergeCell ref="BH42:BI42"/>
    <mergeCell ref="B40:E41"/>
    <mergeCell ref="R40:S40"/>
    <mergeCell ref="X40:Y40"/>
    <mergeCell ref="AJ40:AK40"/>
    <mergeCell ref="R41:S41"/>
    <mergeCell ref="X41:Y41"/>
    <mergeCell ref="AJ41:AK41"/>
    <mergeCell ref="AX42:AZ42"/>
    <mergeCell ref="BB42:BC42"/>
    <mergeCell ref="B42:E42"/>
    <mergeCell ref="F42:G42"/>
    <mergeCell ref="L42:M42"/>
    <mergeCell ref="R42:S42"/>
    <mergeCell ref="X42:Y42"/>
    <mergeCell ref="AJ42:AK42"/>
    <mergeCell ref="AV42:AW42"/>
    <mergeCell ref="AP39:AQ39"/>
    <mergeCell ref="B36:D36"/>
    <mergeCell ref="E36:F36"/>
    <mergeCell ref="G36:G37"/>
    <mergeCell ref="B37:D37"/>
    <mergeCell ref="E37:F37"/>
    <mergeCell ref="H37:J37"/>
    <mergeCell ref="L37:M37"/>
    <mergeCell ref="AD40:AE40"/>
    <mergeCell ref="B38:D38"/>
    <mergeCell ref="E38:G38"/>
    <mergeCell ref="H38:M38"/>
    <mergeCell ref="R38:S38"/>
    <mergeCell ref="X38:Y38"/>
    <mergeCell ref="AD38:AE38"/>
    <mergeCell ref="AJ38:AK38"/>
    <mergeCell ref="B39:E39"/>
    <mergeCell ref="F39:G39"/>
    <mergeCell ref="R39:S39"/>
    <mergeCell ref="X39:Y39"/>
    <mergeCell ref="AD39:AE39"/>
    <mergeCell ref="AJ39:AK39"/>
    <mergeCell ref="AR37:AT37"/>
    <mergeCell ref="AV37:AW37"/>
    <mergeCell ref="AX37:AZ37"/>
    <mergeCell ref="BB37:BC37"/>
    <mergeCell ref="BD37:BF37"/>
    <mergeCell ref="BH37:BI37"/>
    <mergeCell ref="AP38:AQ38"/>
    <mergeCell ref="AR38:AW38"/>
    <mergeCell ref="AX38:BA38"/>
    <mergeCell ref="BB38:BC38"/>
    <mergeCell ref="BD38:BI38"/>
    <mergeCell ref="R29:S29"/>
    <mergeCell ref="R30:S30"/>
    <mergeCell ref="R32:S32"/>
    <mergeCell ref="R37:S37"/>
    <mergeCell ref="AD29:AE29"/>
    <mergeCell ref="AD30:AE30"/>
    <mergeCell ref="AD32:AE32"/>
    <mergeCell ref="AD37:AE37"/>
    <mergeCell ref="AP29:AQ29"/>
    <mergeCell ref="AP30:AQ30"/>
    <mergeCell ref="AP31:AQ31"/>
    <mergeCell ref="AP32:AQ32"/>
    <mergeCell ref="AP37:AQ37"/>
    <mergeCell ref="X30:Y30"/>
    <mergeCell ref="X31:Y31"/>
    <mergeCell ref="X32:Y32"/>
    <mergeCell ref="X37:Y37"/>
    <mergeCell ref="AJ37:AK37"/>
    <mergeCell ref="AL33:AQ33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J28:AK28"/>
    <mergeCell ref="AR33:AW33"/>
    <mergeCell ref="AX33:BC33"/>
    <mergeCell ref="BD33:BI33"/>
    <mergeCell ref="B33:C33"/>
    <mergeCell ref="D33:E33"/>
    <mergeCell ref="H33:M33"/>
    <mergeCell ref="N33:S33"/>
    <mergeCell ref="T33:Y33"/>
    <mergeCell ref="Z33:AE33"/>
    <mergeCell ref="AF33:AK33"/>
    <mergeCell ref="B30:E31"/>
    <mergeCell ref="R31:S31"/>
    <mergeCell ref="AD31:AE31"/>
    <mergeCell ref="BD32:BF32"/>
    <mergeCell ref="BH32:BI32"/>
    <mergeCell ref="B32:E32"/>
    <mergeCell ref="F32:G32"/>
    <mergeCell ref="L32:M32"/>
    <mergeCell ref="AJ32:AK32"/>
    <mergeCell ref="AV32:AW32"/>
    <mergeCell ref="AX32:AZ32"/>
    <mergeCell ref="BB32:BC32"/>
    <mergeCell ref="B72:E72"/>
    <mergeCell ref="F72:G72"/>
    <mergeCell ref="L72:M72"/>
    <mergeCell ref="AJ72:AK72"/>
    <mergeCell ref="AV72:AW72"/>
    <mergeCell ref="AX72:AZ72"/>
    <mergeCell ref="BB72:BC72"/>
    <mergeCell ref="R72:S72"/>
    <mergeCell ref="AD72:AE72"/>
    <mergeCell ref="AP69:AQ69"/>
    <mergeCell ref="AP70:AQ70"/>
    <mergeCell ref="AP71:AQ71"/>
    <mergeCell ref="AP72:AQ72"/>
    <mergeCell ref="X70:Y70"/>
    <mergeCell ref="X71:Y71"/>
    <mergeCell ref="X72:Y72"/>
    <mergeCell ref="BD72:BF72"/>
    <mergeCell ref="AP68:AQ68"/>
    <mergeCell ref="AR68:AW68"/>
    <mergeCell ref="AX68:BA68"/>
    <mergeCell ref="BB68:BC68"/>
    <mergeCell ref="BD68:BI68"/>
    <mergeCell ref="AJ70:AK70"/>
    <mergeCell ref="AJ71:AK71"/>
    <mergeCell ref="BH72:BI72"/>
    <mergeCell ref="B68:D68"/>
    <mergeCell ref="E68:G68"/>
    <mergeCell ref="H68:M68"/>
    <mergeCell ref="R68:S68"/>
    <mergeCell ref="X68:Y68"/>
    <mergeCell ref="AD68:AE68"/>
    <mergeCell ref="AJ68:AK68"/>
    <mergeCell ref="B66:D66"/>
    <mergeCell ref="E66:F66"/>
    <mergeCell ref="G66:G67"/>
    <mergeCell ref="B67:D67"/>
    <mergeCell ref="E67:F67"/>
    <mergeCell ref="H67:J67"/>
    <mergeCell ref="L67:M67"/>
    <mergeCell ref="B69:E69"/>
    <mergeCell ref="F69:G69"/>
    <mergeCell ref="X69:Y69"/>
    <mergeCell ref="AJ69:AK69"/>
    <mergeCell ref="B70:E71"/>
    <mergeCell ref="R71:S71"/>
    <mergeCell ref="AD71:AE71"/>
    <mergeCell ref="R69:S69"/>
    <mergeCell ref="R70:S70"/>
    <mergeCell ref="AD69:AE69"/>
    <mergeCell ref="AD70:AE70"/>
    <mergeCell ref="AX67:AZ67"/>
    <mergeCell ref="BB67:BC67"/>
    <mergeCell ref="BD67:BF67"/>
    <mergeCell ref="BH67:BI67"/>
    <mergeCell ref="R67:S67"/>
    <mergeCell ref="X67:Y67"/>
    <mergeCell ref="AD67:AE67"/>
    <mergeCell ref="AJ67:AK67"/>
    <mergeCell ref="AP67:AQ67"/>
    <mergeCell ref="AR67:AT67"/>
    <mergeCell ref="AV67:AW67"/>
    <mergeCell ref="AL63:AQ63"/>
    <mergeCell ref="AR63:AW63"/>
    <mergeCell ref="AX63:BC63"/>
    <mergeCell ref="BD63:BI63"/>
    <mergeCell ref="B63:C63"/>
    <mergeCell ref="D63:E63"/>
    <mergeCell ref="H63:M63"/>
    <mergeCell ref="N63:S63"/>
    <mergeCell ref="T63:Y63"/>
    <mergeCell ref="Z63:AE63"/>
    <mergeCell ref="AF63:AK63"/>
    <mergeCell ref="AD61:AE61"/>
    <mergeCell ref="AD62:AE62"/>
    <mergeCell ref="AP60:AQ60"/>
    <mergeCell ref="AP61:AQ61"/>
    <mergeCell ref="AP62:AQ62"/>
    <mergeCell ref="BD62:BF62"/>
    <mergeCell ref="BH62:BI62"/>
    <mergeCell ref="B60:E61"/>
    <mergeCell ref="R60:S60"/>
    <mergeCell ref="X60:Y60"/>
    <mergeCell ref="AJ60:AK60"/>
    <mergeCell ref="R61:S61"/>
    <mergeCell ref="X61:Y61"/>
    <mergeCell ref="AJ61:AK61"/>
    <mergeCell ref="AX62:AZ62"/>
    <mergeCell ref="BB62:BC62"/>
    <mergeCell ref="B62:E62"/>
    <mergeCell ref="F62:G62"/>
    <mergeCell ref="L62:M62"/>
    <mergeCell ref="R62:S62"/>
    <mergeCell ref="X62:Y62"/>
    <mergeCell ref="AJ62:AK62"/>
    <mergeCell ref="AV62:AW62"/>
    <mergeCell ref="AP59:AQ59"/>
    <mergeCell ref="B56:D56"/>
    <mergeCell ref="E56:F56"/>
    <mergeCell ref="G56:G57"/>
    <mergeCell ref="B57:D57"/>
    <mergeCell ref="E57:F57"/>
    <mergeCell ref="H57:J57"/>
    <mergeCell ref="L57:M57"/>
    <mergeCell ref="AD60:AE60"/>
    <mergeCell ref="B58:D58"/>
    <mergeCell ref="E58:G58"/>
    <mergeCell ref="H58:M58"/>
    <mergeCell ref="R58:S58"/>
    <mergeCell ref="X58:Y58"/>
    <mergeCell ref="AD58:AE58"/>
    <mergeCell ref="AJ58:AK58"/>
    <mergeCell ref="B59:E59"/>
    <mergeCell ref="F59:G59"/>
    <mergeCell ref="R59:S59"/>
    <mergeCell ref="X59:Y59"/>
    <mergeCell ref="AD59:AE59"/>
    <mergeCell ref="AJ59:AK59"/>
    <mergeCell ref="R57:S57"/>
    <mergeCell ref="AD57:AE57"/>
    <mergeCell ref="AR57:AT57"/>
    <mergeCell ref="AV57:AW57"/>
    <mergeCell ref="AX57:AZ57"/>
    <mergeCell ref="BB57:BC57"/>
    <mergeCell ref="BD57:BF57"/>
    <mergeCell ref="BH57:BI57"/>
    <mergeCell ref="AP58:AQ58"/>
    <mergeCell ref="AR58:AW58"/>
    <mergeCell ref="AX58:BA58"/>
    <mergeCell ref="BB58:BC58"/>
    <mergeCell ref="BD58:BI58"/>
    <mergeCell ref="AP51:AQ51"/>
    <mergeCell ref="AP52:AQ52"/>
    <mergeCell ref="AP57:AQ57"/>
    <mergeCell ref="X50:Y50"/>
    <mergeCell ref="X51:Y51"/>
    <mergeCell ref="X52:Y52"/>
    <mergeCell ref="X57:Y57"/>
    <mergeCell ref="AJ57:AK57"/>
    <mergeCell ref="AL53:AQ53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J48:AK48"/>
    <mergeCell ref="AR53:AW53"/>
    <mergeCell ref="AX53:BC53"/>
    <mergeCell ref="BD53:BI53"/>
    <mergeCell ref="B53:C53"/>
    <mergeCell ref="D53:E53"/>
    <mergeCell ref="H53:M53"/>
    <mergeCell ref="N53:S53"/>
    <mergeCell ref="T53:Y53"/>
    <mergeCell ref="Z53:AE53"/>
    <mergeCell ref="AF53:AK53"/>
    <mergeCell ref="B26:D26"/>
    <mergeCell ref="E26:F26"/>
    <mergeCell ref="G26:G27"/>
    <mergeCell ref="B27:D27"/>
    <mergeCell ref="E27:F27"/>
    <mergeCell ref="H27:J27"/>
    <mergeCell ref="L27:M27"/>
    <mergeCell ref="AJ50:AK50"/>
    <mergeCell ref="AJ51:AK51"/>
    <mergeCell ref="B49:E49"/>
    <mergeCell ref="F49:G49"/>
    <mergeCell ref="X49:Y49"/>
    <mergeCell ref="AJ49:AK49"/>
    <mergeCell ref="B50:E51"/>
    <mergeCell ref="R51:S51"/>
    <mergeCell ref="AD51:AE51"/>
    <mergeCell ref="R49:S49"/>
    <mergeCell ref="R50:S50"/>
    <mergeCell ref="AJ30:AK30"/>
    <mergeCell ref="AJ31:AK31"/>
    <mergeCell ref="B29:E29"/>
    <mergeCell ref="F29:G29"/>
    <mergeCell ref="X29:Y29"/>
    <mergeCell ref="AJ29:AK29"/>
    <mergeCell ref="AX27:AZ27"/>
    <mergeCell ref="BB27:BC27"/>
    <mergeCell ref="BD27:BF27"/>
    <mergeCell ref="BH27:BI27"/>
    <mergeCell ref="R27:S27"/>
    <mergeCell ref="X27:Y27"/>
    <mergeCell ref="AD27:AE27"/>
    <mergeCell ref="AJ27:AK27"/>
    <mergeCell ref="AP27:AQ27"/>
    <mergeCell ref="AR27:AT27"/>
    <mergeCell ref="AV27:AW27"/>
    <mergeCell ref="AL23:AQ23"/>
    <mergeCell ref="AR23:AW23"/>
    <mergeCell ref="AX23:BC23"/>
    <mergeCell ref="BD23:BI23"/>
    <mergeCell ref="B23:C23"/>
    <mergeCell ref="D23:E23"/>
    <mergeCell ref="H23:M23"/>
    <mergeCell ref="N23:S23"/>
    <mergeCell ref="T23:Y23"/>
    <mergeCell ref="Z23:AE23"/>
    <mergeCell ref="AF23:AK23"/>
    <mergeCell ref="AD21:AE21"/>
    <mergeCell ref="AD22:AE22"/>
    <mergeCell ref="AP20:AQ20"/>
    <mergeCell ref="AP21:AQ21"/>
    <mergeCell ref="AP22:AQ22"/>
    <mergeCell ref="BD22:BF22"/>
    <mergeCell ref="BH22:BI22"/>
    <mergeCell ref="B20:E21"/>
    <mergeCell ref="R20:S20"/>
    <mergeCell ref="X20:Y20"/>
    <mergeCell ref="AJ20:AK20"/>
    <mergeCell ref="R21:S21"/>
    <mergeCell ref="X21:Y21"/>
    <mergeCell ref="AJ21:AK21"/>
    <mergeCell ref="AX22:AZ22"/>
    <mergeCell ref="BB22:BC22"/>
    <mergeCell ref="B22:E22"/>
    <mergeCell ref="F22:G22"/>
    <mergeCell ref="L22:M22"/>
    <mergeCell ref="R22:S22"/>
    <mergeCell ref="X22:Y22"/>
    <mergeCell ref="AJ22:AK22"/>
    <mergeCell ref="AV22:AW22"/>
    <mergeCell ref="AD20:AE20"/>
    <mergeCell ref="B18:D18"/>
    <mergeCell ref="E18:G18"/>
    <mergeCell ref="H18:M18"/>
    <mergeCell ref="R18:S18"/>
    <mergeCell ref="X18:Y18"/>
    <mergeCell ref="AD18:AE18"/>
    <mergeCell ref="AJ18:AK18"/>
    <mergeCell ref="B19:E19"/>
    <mergeCell ref="F19:G19"/>
    <mergeCell ref="R19:S19"/>
    <mergeCell ref="X19:Y19"/>
    <mergeCell ref="AD19:AE19"/>
    <mergeCell ref="AJ19:AK19"/>
    <mergeCell ref="BD17:BF17"/>
    <mergeCell ref="BH17:BI17"/>
    <mergeCell ref="AP18:AQ18"/>
    <mergeCell ref="AR18:AW18"/>
    <mergeCell ref="AX18:BA18"/>
    <mergeCell ref="BB18:BC18"/>
    <mergeCell ref="BD18:BI18"/>
    <mergeCell ref="AP19:AQ19"/>
    <mergeCell ref="B16:D16"/>
    <mergeCell ref="E16:F16"/>
    <mergeCell ref="G16:G17"/>
    <mergeCell ref="B17:D17"/>
    <mergeCell ref="E17:F17"/>
    <mergeCell ref="H17:J17"/>
    <mergeCell ref="L17:M17"/>
    <mergeCell ref="R17:S17"/>
    <mergeCell ref="X17:Y17"/>
    <mergeCell ref="AJ17:AK17"/>
    <mergeCell ref="AD17:AE17"/>
    <mergeCell ref="AP17:AQ17"/>
    <mergeCell ref="AR17:AT17"/>
    <mergeCell ref="AV17:AW17"/>
    <mergeCell ref="AX17:AZ17"/>
    <mergeCell ref="BB17:BC17"/>
    <mergeCell ref="AP8:AQ8"/>
    <mergeCell ref="AR8:AW8"/>
    <mergeCell ref="AX8:BA8"/>
    <mergeCell ref="BB8:BC8"/>
    <mergeCell ref="AJ12:AK12"/>
    <mergeCell ref="AV12:AW12"/>
    <mergeCell ref="AX12:AZ12"/>
    <mergeCell ref="BB12:BC12"/>
    <mergeCell ref="AD9:AE9"/>
    <mergeCell ref="AD10:AE10"/>
    <mergeCell ref="AD12:AE12"/>
    <mergeCell ref="AP9:AQ9"/>
    <mergeCell ref="AP10:AQ10"/>
    <mergeCell ref="AP11:AQ11"/>
    <mergeCell ref="AP12:AQ12"/>
    <mergeCell ref="BD8:BI8"/>
    <mergeCell ref="B8:D8"/>
    <mergeCell ref="E8:G8"/>
    <mergeCell ref="H8:M8"/>
    <mergeCell ref="R8:S8"/>
    <mergeCell ref="X8:Y8"/>
    <mergeCell ref="AD8:AE8"/>
    <mergeCell ref="AJ8:AK8"/>
    <mergeCell ref="AL13:AQ13"/>
    <mergeCell ref="AR13:AW13"/>
    <mergeCell ref="AX13:BC13"/>
    <mergeCell ref="BD13:BI13"/>
    <mergeCell ref="B13:C13"/>
    <mergeCell ref="D13:E13"/>
    <mergeCell ref="H13:M13"/>
    <mergeCell ref="N13:S13"/>
    <mergeCell ref="T13:Y13"/>
    <mergeCell ref="Z13:AE13"/>
    <mergeCell ref="AF13:AK13"/>
    <mergeCell ref="BD12:BF12"/>
    <mergeCell ref="BH12:BI12"/>
    <mergeCell ref="B12:E12"/>
    <mergeCell ref="F12:G12"/>
    <mergeCell ref="L12:M12"/>
    <mergeCell ref="R12:S12"/>
    <mergeCell ref="B6:D6"/>
    <mergeCell ref="E6:F6"/>
    <mergeCell ref="G6:G7"/>
    <mergeCell ref="B7:D7"/>
    <mergeCell ref="E7:F7"/>
    <mergeCell ref="H7:J7"/>
    <mergeCell ref="L7:M7"/>
    <mergeCell ref="AJ10:AK10"/>
    <mergeCell ref="AJ11:AK11"/>
    <mergeCell ref="B9:E9"/>
    <mergeCell ref="F9:G9"/>
    <mergeCell ref="X9:Y9"/>
    <mergeCell ref="AJ9:AK9"/>
    <mergeCell ref="B10:E11"/>
    <mergeCell ref="R11:S11"/>
    <mergeCell ref="AD11:AE11"/>
    <mergeCell ref="R9:S9"/>
    <mergeCell ref="R10:S10"/>
    <mergeCell ref="X10:Y10"/>
    <mergeCell ref="X11:Y11"/>
    <mergeCell ref="X12:Y12"/>
    <mergeCell ref="AX7:AZ7"/>
    <mergeCell ref="BB7:BC7"/>
    <mergeCell ref="BD7:BF7"/>
    <mergeCell ref="BH7:BI7"/>
    <mergeCell ref="R7:S7"/>
    <mergeCell ref="X7:Y7"/>
    <mergeCell ref="AD7:AE7"/>
    <mergeCell ref="AJ7:AK7"/>
    <mergeCell ref="AP7:AQ7"/>
    <mergeCell ref="AR7:AT7"/>
    <mergeCell ref="AV7:AW7"/>
    <mergeCell ref="AF3:AK3"/>
    <mergeCell ref="AL3:AQ3"/>
    <mergeCell ref="AR3:AW3"/>
    <mergeCell ref="AX3:BC3"/>
    <mergeCell ref="BD3:BI3"/>
    <mergeCell ref="B2:E2"/>
    <mergeCell ref="B3:C3"/>
    <mergeCell ref="D3:E3"/>
    <mergeCell ref="H3:M3"/>
    <mergeCell ref="N3:S3"/>
    <mergeCell ref="T3:Y3"/>
    <mergeCell ref="Z3:AE3"/>
    <mergeCell ref="AL1:AQ2"/>
    <mergeCell ref="AR1:BC2"/>
    <mergeCell ref="BD1:BI2"/>
    <mergeCell ref="B1:C1"/>
    <mergeCell ref="D1:E1"/>
    <mergeCell ref="H1:M2"/>
    <mergeCell ref="N1:S2"/>
    <mergeCell ref="T1:Y2"/>
    <mergeCell ref="Z1:AE2"/>
    <mergeCell ref="AF1:AK2"/>
  </mergeCells>
  <conditionalFormatting sqref="Z3:AE3 Z13:AE13 Z23:AE23 Z33:AE33 Z43:AE43 Z53:AE53 Z63:AE63">
    <cfRule type="notContainsBlanks" dxfId="7" priority="1">
      <formula>LEN(TRIM(Z3))&gt;0</formula>
    </cfRule>
  </conditionalFormatting>
  <conditionalFormatting sqref="H7 N7:AQ12 H12 H17:AQ22 H27:AQ32 H37:AQ42 H47:AQ52 H57:AQ62 H67:AQ72">
    <cfRule type="cellIs" dxfId="6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1400-000000000000}">
          <x14:formula1>
            <xm:f>Friteuse!$A$2:$A$200</xm:f>
          </x14:formula1>
          <xm:sqref>N3 N13 N23 N33 N43 N53 N63</xm:sqref>
        </x14:dataValidation>
        <x14:dataValidation type="list" allowBlank="1" showErrorMessage="1" xr:uid="{00000000-0002-0000-1400-000004000000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00000000-0002-0000-1400-000002000000}">
          <x14:formula1>
            <xm:f>Wok!$A$1:$A$210</xm:f>
          </x14:formula1>
          <xm:sqref>T3 T63 T53 T43 T33 T23 T13</xm:sqref>
        </x14:dataValidation>
        <x14:dataValidation type="list" allowBlank="1" showErrorMessage="1" xr:uid="{00000000-0002-0000-1400-000006000000}">
          <x14:formula1>
            <xm:f>Poele!$A$2:$A$209</xm:f>
          </x14:formula1>
          <xm:sqref>Z3 Z13 Z23 Z33 Z43 Z53 Z63</xm:sqref>
        </x14:dataValidation>
        <x14:dataValidation type="list" allowBlank="1" showErrorMessage="1" xr:uid="{00000000-0002-0000-1400-000001000000}">
          <x14:formula1>
            <xm:f>Four!$A$1:$A$109</xm:f>
          </x14:formula1>
          <xm:sqref>AF33 AL33</xm:sqref>
        </x14:dataValidation>
        <x14:dataValidation type="list" allowBlank="1" showErrorMessage="1" xr:uid="{00000000-0002-0000-1400-000003000000}">
          <x14:formula1>
            <xm:f>Four!$A$1:$A$77</xm:f>
          </x14:formula1>
          <xm:sqref>AF53</xm:sqref>
        </x14:dataValidation>
        <x14:dataValidation type="list" allowBlank="1" showErrorMessage="1" xr:uid="{00000000-0002-0000-1400-000005000000}">
          <x14:formula1>
            <xm:f>Four!$A$1:$A$217</xm:f>
          </x14:formula1>
          <xm:sqref>AF3 AL63 AF63 AL53 AL43 AF43 AL23 AF23 AL13 AF13 AL3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7357-3B6C-4504-9EAC-C8AB5A9E20CD}">
  <sheetPr>
    <tabColor rgb="FF00B0F0"/>
    <pageSetUpPr fitToPage="1"/>
  </sheetPr>
  <dimension ref="A1:BI327"/>
  <sheetViews>
    <sheetView showGridLines="0" zoomScale="70" zoomScaleNormal="70" workbookViewId="0">
      <pane ySplit="2" topLeftCell="A20" activePane="bottomLeft" state="frozen"/>
      <selection activeCell="B5" sqref="B5"/>
      <selection pane="bottomLeft" activeCell="AD20" sqref="AD20:AE20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61" width="6.5703125" customWidth="1"/>
  </cols>
  <sheetData>
    <row r="1" spans="1:61" ht="17.25" customHeight="1">
      <c r="A1" s="5" t="s">
        <v>146</v>
      </c>
      <c r="B1" s="449" t="s">
        <v>0</v>
      </c>
      <c r="C1" s="432"/>
      <c r="D1" s="498">
        <v>4</v>
      </c>
      <c r="E1" s="432"/>
      <c r="F1" s="6"/>
      <c r="G1" s="7"/>
      <c r="H1" s="496" t="s">
        <v>147</v>
      </c>
      <c r="I1" s="445"/>
      <c r="J1" s="445"/>
      <c r="K1" s="445"/>
      <c r="L1" s="445"/>
      <c r="M1" s="446"/>
      <c r="N1" s="499" t="s">
        <v>148</v>
      </c>
      <c r="O1" s="445"/>
      <c r="P1" s="445"/>
      <c r="Q1" s="445"/>
      <c r="R1" s="445"/>
      <c r="S1" s="446"/>
      <c r="T1" s="500" t="s">
        <v>170</v>
      </c>
      <c r="U1" s="445"/>
      <c r="V1" s="445"/>
      <c r="W1" s="445"/>
      <c r="X1" s="445"/>
      <c r="Y1" s="446"/>
      <c r="Z1" s="500" t="s">
        <v>171</v>
      </c>
      <c r="AA1" s="445"/>
      <c r="AB1" s="445"/>
      <c r="AC1" s="445"/>
      <c r="AD1" s="445"/>
      <c r="AE1" s="446"/>
      <c r="AF1" s="495" t="s">
        <v>172</v>
      </c>
      <c r="AG1" s="445"/>
      <c r="AH1" s="445"/>
      <c r="AI1" s="445"/>
      <c r="AJ1" s="445"/>
      <c r="AK1" s="446"/>
      <c r="AL1" s="495" t="s">
        <v>173</v>
      </c>
      <c r="AM1" s="445"/>
      <c r="AN1" s="445"/>
      <c r="AO1" s="445"/>
      <c r="AP1" s="445"/>
      <c r="AQ1" s="446"/>
      <c r="AR1" s="496" t="s">
        <v>174</v>
      </c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6"/>
      <c r="BD1" s="497" t="s">
        <v>175</v>
      </c>
      <c r="BE1" s="445"/>
      <c r="BF1" s="445"/>
      <c r="BG1" s="445"/>
      <c r="BH1" s="445"/>
      <c r="BI1" s="446"/>
    </row>
    <row r="2" spans="1:61" ht="17.25" customHeight="1">
      <c r="A2" s="5"/>
      <c r="B2" s="485">
        <v>45312</v>
      </c>
      <c r="C2" s="445"/>
      <c r="D2" s="445"/>
      <c r="E2" s="446"/>
      <c r="F2" s="9"/>
      <c r="G2" s="9"/>
      <c r="H2" s="447"/>
      <c r="I2" s="434"/>
      <c r="J2" s="434"/>
      <c r="K2" s="434"/>
      <c r="L2" s="434"/>
      <c r="M2" s="435"/>
      <c r="N2" s="447"/>
      <c r="O2" s="434"/>
      <c r="P2" s="434"/>
      <c r="Q2" s="434"/>
      <c r="R2" s="434"/>
      <c r="S2" s="435"/>
      <c r="T2" s="447"/>
      <c r="U2" s="434"/>
      <c r="V2" s="434"/>
      <c r="W2" s="434"/>
      <c r="X2" s="434"/>
      <c r="Y2" s="435"/>
      <c r="Z2" s="447"/>
      <c r="AA2" s="434"/>
      <c r="AB2" s="434"/>
      <c r="AC2" s="434"/>
      <c r="AD2" s="434"/>
      <c r="AE2" s="435"/>
      <c r="AF2" s="447"/>
      <c r="AG2" s="434"/>
      <c r="AH2" s="434"/>
      <c r="AI2" s="434"/>
      <c r="AJ2" s="434"/>
      <c r="AK2" s="435"/>
      <c r="AL2" s="447"/>
      <c r="AM2" s="434"/>
      <c r="AN2" s="434"/>
      <c r="AO2" s="434"/>
      <c r="AP2" s="434"/>
      <c r="AQ2" s="435"/>
      <c r="AR2" s="447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5"/>
      <c r="BD2" s="434"/>
      <c r="BE2" s="434"/>
      <c r="BF2" s="434"/>
      <c r="BG2" s="434"/>
      <c r="BH2" s="434"/>
      <c r="BI2" s="435"/>
    </row>
    <row r="3" spans="1:61" ht="17.25" customHeight="1">
      <c r="A3" s="55">
        <f>B2</f>
        <v>45312</v>
      </c>
      <c r="B3" s="486" t="s">
        <v>8</v>
      </c>
      <c r="C3" s="464"/>
      <c r="D3" s="486" t="s">
        <v>9</v>
      </c>
      <c r="E3" s="464"/>
      <c r="F3" s="329" t="s">
        <v>10</v>
      </c>
      <c r="G3" s="330"/>
      <c r="H3" s="487" t="s">
        <v>184</v>
      </c>
      <c r="I3" s="431" t="s">
        <v>184</v>
      </c>
      <c r="J3" s="431" t="s">
        <v>184</v>
      </c>
      <c r="K3" s="431" t="s">
        <v>184</v>
      </c>
      <c r="L3" s="431" t="s">
        <v>184</v>
      </c>
      <c r="M3" s="432" t="s">
        <v>184</v>
      </c>
      <c r="N3" s="488" t="s">
        <v>192</v>
      </c>
      <c r="O3" s="489" t="s">
        <v>192</v>
      </c>
      <c r="P3" s="489" t="s">
        <v>192</v>
      </c>
      <c r="Q3" s="489" t="s">
        <v>192</v>
      </c>
      <c r="R3" s="489" t="s">
        <v>192</v>
      </c>
      <c r="S3" s="490" t="s">
        <v>192</v>
      </c>
      <c r="T3" s="491" t="s">
        <v>179</v>
      </c>
      <c r="U3" s="492" t="s">
        <v>179</v>
      </c>
      <c r="V3" s="492" t="s">
        <v>179</v>
      </c>
      <c r="W3" s="492" t="s">
        <v>179</v>
      </c>
      <c r="X3" s="492" t="s">
        <v>179</v>
      </c>
      <c r="Y3" s="493" t="s">
        <v>179</v>
      </c>
      <c r="Z3" s="494" t="s">
        <v>236</v>
      </c>
      <c r="AA3" s="461" t="s">
        <v>236</v>
      </c>
      <c r="AB3" s="461" t="s">
        <v>236</v>
      </c>
      <c r="AC3" s="461" t="s">
        <v>236</v>
      </c>
      <c r="AD3" s="461" t="s">
        <v>236</v>
      </c>
      <c r="AE3" s="464" t="s">
        <v>236</v>
      </c>
      <c r="AF3" s="478" t="s">
        <v>277</v>
      </c>
      <c r="AG3" s="479"/>
      <c r="AH3" s="479"/>
      <c r="AI3" s="479"/>
      <c r="AJ3" s="479"/>
      <c r="AK3" s="480"/>
      <c r="AL3" s="478" t="s">
        <v>187</v>
      </c>
      <c r="AM3" s="479" t="s">
        <v>187</v>
      </c>
      <c r="AN3" s="479" t="s">
        <v>187</v>
      </c>
      <c r="AO3" s="479" t="s">
        <v>187</v>
      </c>
      <c r="AP3" s="479" t="s">
        <v>187</v>
      </c>
      <c r="AQ3" s="480" t="s">
        <v>187</v>
      </c>
      <c r="AR3" s="481" t="s">
        <v>18</v>
      </c>
      <c r="AS3" s="431"/>
      <c r="AT3" s="431"/>
      <c r="AU3" s="431"/>
      <c r="AV3" s="431"/>
      <c r="AW3" s="432"/>
      <c r="AX3" s="482" t="s">
        <v>154</v>
      </c>
      <c r="AY3" s="434"/>
      <c r="AZ3" s="434"/>
      <c r="BA3" s="434"/>
      <c r="BB3" s="434"/>
      <c r="BC3" s="435"/>
      <c r="BD3" s="483" t="s">
        <v>155</v>
      </c>
      <c r="BE3" s="431"/>
      <c r="BF3" s="431"/>
      <c r="BG3" s="431"/>
      <c r="BH3" s="431"/>
      <c r="BI3" s="484"/>
    </row>
    <row r="4" spans="1:61" ht="17.25" customHeight="1">
      <c r="A4" s="269"/>
      <c r="B4" s="331" t="s">
        <v>22</v>
      </c>
      <c r="C4" s="332">
        <v>100</v>
      </c>
      <c r="D4" s="331" t="s">
        <v>22</v>
      </c>
      <c r="E4" s="104">
        <v>50</v>
      </c>
      <c r="F4" s="331" t="s">
        <v>22</v>
      </c>
      <c r="G4" s="104">
        <f t="shared" ref="G4:G5" si="0">+C4+E4</f>
        <v>150</v>
      </c>
      <c r="H4" s="333" t="s">
        <v>23</v>
      </c>
      <c r="I4" s="105">
        <v>0.05</v>
      </c>
      <c r="J4" s="106">
        <f>+I4*$C4*$F9</f>
        <v>3</v>
      </c>
      <c r="K4" s="333" t="s">
        <v>24</v>
      </c>
      <c r="L4" s="107">
        <v>3</v>
      </c>
      <c r="M4" s="334">
        <f>L4/($F12*$C5)</f>
        <v>5.1264524948735471E-2</v>
      </c>
      <c r="N4" s="335" t="s">
        <v>23</v>
      </c>
      <c r="O4" s="108">
        <v>0.01</v>
      </c>
      <c r="P4" s="109">
        <f>+O4*$C4*$F9</f>
        <v>0.6</v>
      </c>
      <c r="Q4" s="336" t="s">
        <v>24</v>
      </c>
      <c r="R4" s="110">
        <v>0.5</v>
      </c>
      <c r="S4" s="334">
        <f>R4/($F12*$C5)</f>
        <v>8.5440874914559112E-3</v>
      </c>
      <c r="T4" s="336" t="s">
        <v>23</v>
      </c>
      <c r="U4" s="111">
        <v>0.05</v>
      </c>
      <c r="V4" s="112">
        <f>+U4*$C4*$F9</f>
        <v>3</v>
      </c>
      <c r="W4" s="336" t="s">
        <v>24</v>
      </c>
      <c r="X4" s="110">
        <v>3</v>
      </c>
      <c r="Y4" s="334">
        <f>X4/($F12*$C5)</f>
        <v>5.1264524948735471E-2</v>
      </c>
      <c r="Z4" s="336" t="s">
        <v>23</v>
      </c>
      <c r="AA4" s="111">
        <v>0.03</v>
      </c>
      <c r="AB4" s="112">
        <f>+AA4*$C4*$F9</f>
        <v>1.7999999999999998</v>
      </c>
      <c r="AC4" s="336" t="s">
        <v>24</v>
      </c>
      <c r="AD4" s="110">
        <v>2</v>
      </c>
      <c r="AE4" s="334">
        <f>AD4/($F12*$C5)</f>
        <v>3.4176349965823645E-2</v>
      </c>
      <c r="AF4" s="336" t="s">
        <v>23</v>
      </c>
      <c r="AG4" s="111">
        <v>0.1</v>
      </c>
      <c r="AH4" s="112">
        <f>+AG4*$C4*$F9</f>
        <v>6</v>
      </c>
      <c r="AI4" s="336" t="s">
        <v>24</v>
      </c>
      <c r="AJ4" s="110">
        <v>6</v>
      </c>
      <c r="AK4" s="334">
        <f>AJ4/($F12*$C5)</f>
        <v>0.10252904989747094</v>
      </c>
      <c r="AL4" s="336" t="s">
        <v>23</v>
      </c>
      <c r="AM4" s="111">
        <v>0.05</v>
      </c>
      <c r="AN4" s="112">
        <f>+AM4*$C4*$F9</f>
        <v>3</v>
      </c>
      <c r="AO4" s="336" t="s">
        <v>24</v>
      </c>
      <c r="AP4" s="110">
        <v>3</v>
      </c>
      <c r="AQ4" s="334">
        <f>AP4/($F12*$C5)</f>
        <v>5.1264524948735471E-2</v>
      </c>
      <c r="AR4" s="333" t="s">
        <v>23</v>
      </c>
      <c r="AS4" s="105">
        <v>7.0000000000000007E-2</v>
      </c>
      <c r="AT4" s="106">
        <f>+AS4*$C4*$F9</f>
        <v>4.2</v>
      </c>
      <c r="AU4" s="333" t="s">
        <v>24</v>
      </c>
      <c r="AV4" s="107">
        <v>4</v>
      </c>
      <c r="AW4" s="334">
        <f>AV4/($F12*$C5)</f>
        <v>6.835269993164729E-2</v>
      </c>
      <c r="AX4" s="333" t="s">
        <v>23</v>
      </c>
      <c r="AY4" s="105">
        <v>0.43</v>
      </c>
      <c r="AZ4" s="106">
        <f>+AY4*$C4*$F9</f>
        <v>25.8</v>
      </c>
      <c r="BA4" s="333" t="s">
        <v>24</v>
      </c>
      <c r="BB4" s="107">
        <v>25</v>
      </c>
      <c r="BC4" s="334">
        <f>BB4/($F12*$C5)</f>
        <v>0.42720437457279559</v>
      </c>
      <c r="BD4" s="333" t="s">
        <v>23</v>
      </c>
      <c r="BE4" s="105">
        <v>0.02</v>
      </c>
      <c r="BF4" s="106">
        <f>+BE4*$C4*$F9</f>
        <v>1.2</v>
      </c>
      <c r="BG4" s="333" t="s">
        <v>24</v>
      </c>
      <c r="BH4" s="107">
        <v>1</v>
      </c>
      <c r="BI4" s="334">
        <f>BH4/($F12*$C5)</f>
        <v>1.7088174982911822E-2</v>
      </c>
    </row>
    <row r="5" spans="1:61" ht="17.25" customHeight="1">
      <c r="A5" s="278" t="s">
        <v>25</v>
      </c>
      <c r="B5" s="337" t="s">
        <v>26</v>
      </c>
      <c r="C5" s="113">
        <v>100</v>
      </c>
      <c r="D5" s="337" t="s">
        <v>26</v>
      </c>
      <c r="E5" s="114">
        <v>50</v>
      </c>
      <c r="F5" s="337" t="s">
        <v>26</v>
      </c>
      <c r="G5" s="114">
        <f t="shared" si="0"/>
        <v>150</v>
      </c>
      <c r="H5" s="115" t="s">
        <v>27</v>
      </c>
      <c r="I5" s="338">
        <v>0.03</v>
      </c>
      <c r="J5" s="339">
        <f>+I5*$E4*$F9</f>
        <v>0.89999999999999991</v>
      </c>
      <c r="K5" s="115" t="s">
        <v>28</v>
      </c>
      <c r="L5" s="340">
        <v>1</v>
      </c>
      <c r="M5" s="341">
        <f>L5/($F12*$E5)</f>
        <v>3.4176349965823645E-2</v>
      </c>
      <c r="N5" s="116" t="s">
        <v>27</v>
      </c>
      <c r="O5" s="342">
        <v>0.02</v>
      </c>
      <c r="P5" s="343">
        <f>+O5*$E4*$F9</f>
        <v>0.6</v>
      </c>
      <c r="Q5" s="117" t="s">
        <v>28</v>
      </c>
      <c r="R5" s="344">
        <v>0.5</v>
      </c>
      <c r="S5" s="341">
        <f>R5/($F12*$E5)</f>
        <v>1.7088174982911822E-2</v>
      </c>
      <c r="T5" s="117" t="s">
        <v>27</v>
      </c>
      <c r="U5" s="345">
        <v>0.03</v>
      </c>
      <c r="V5" s="346">
        <f>+U5*$E4*$F9</f>
        <v>0.89999999999999991</v>
      </c>
      <c r="W5" s="117" t="s">
        <v>28</v>
      </c>
      <c r="X5" s="344">
        <v>1</v>
      </c>
      <c r="Y5" s="341">
        <f>X5/($F12*$E5)</f>
        <v>3.4176349965823645E-2</v>
      </c>
      <c r="Z5" s="117" t="s">
        <v>27</v>
      </c>
      <c r="AA5" s="345">
        <v>0.03</v>
      </c>
      <c r="AB5" s="346">
        <f>+AA5*$E4*$F9</f>
        <v>0.89999999999999991</v>
      </c>
      <c r="AC5" s="117" t="s">
        <v>28</v>
      </c>
      <c r="AD5" s="344">
        <v>1</v>
      </c>
      <c r="AE5" s="341">
        <f>AD5/($F12*$E5)</f>
        <v>3.4176349965823645E-2</v>
      </c>
      <c r="AF5" s="117" t="s">
        <v>27</v>
      </c>
      <c r="AG5" s="345">
        <v>0.1</v>
      </c>
      <c r="AH5" s="346">
        <f>+AG5*$E4*$F9</f>
        <v>3</v>
      </c>
      <c r="AI5" s="117" t="s">
        <v>28</v>
      </c>
      <c r="AJ5" s="344">
        <v>3</v>
      </c>
      <c r="AK5" s="341">
        <f>AJ5/($F12*$E5)</f>
        <v>0.10252904989747094</v>
      </c>
      <c r="AL5" s="117" t="s">
        <v>27</v>
      </c>
      <c r="AM5" s="345">
        <v>0.03</v>
      </c>
      <c r="AN5" s="346">
        <f>+AM5*$E4*$F9</f>
        <v>0.89999999999999991</v>
      </c>
      <c r="AO5" s="117" t="s">
        <v>28</v>
      </c>
      <c r="AP5" s="344">
        <v>1</v>
      </c>
      <c r="AQ5" s="341">
        <f>AP5/($F12*$E5)</f>
        <v>3.4176349965823645E-2</v>
      </c>
      <c r="AR5" s="115" t="s">
        <v>27</v>
      </c>
      <c r="AS5" s="338">
        <v>7.0000000000000007E-2</v>
      </c>
      <c r="AT5" s="339">
        <f>+AS5*$E4*$F9</f>
        <v>2.1</v>
      </c>
      <c r="AU5" s="115" t="s">
        <v>28</v>
      </c>
      <c r="AV5" s="340">
        <v>2</v>
      </c>
      <c r="AW5" s="341">
        <f>AV5/($F12*$E5)</f>
        <v>6.835269993164729E-2</v>
      </c>
      <c r="AX5" s="115" t="s">
        <v>27</v>
      </c>
      <c r="AY5" s="338">
        <v>0.34</v>
      </c>
      <c r="AZ5" s="339">
        <f>+AY5*$E4*$F9</f>
        <v>10.199999999999999</v>
      </c>
      <c r="BA5" s="115" t="s">
        <v>28</v>
      </c>
      <c r="BB5" s="340">
        <v>10</v>
      </c>
      <c r="BC5" s="341">
        <f>BB5/($F12*$E5)</f>
        <v>0.34176349965823649</v>
      </c>
      <c r="BD5" s="115" t="s">
        <v>27</v>
      </c>
      <c r="BE5" s="338">
        <v>0.02</v>
      </c>
      <c r="BF5" s="339">
        <f>+BE5*$E4*$F9</f>
        <v>0.6</v>
      </c>
      <c r="BG5" s="115" t="s">
        <v>28</v>
      </c>
      <c r="BH5" s="340">
        <v>0.5</v>
      </c>
      <c r="BI5" s="341">
        <f>BH5/($F12*$E5)</f>
        <v>1.7088174982911822E-2</v>
      </c>
    </row>
    <row r="6" spans="1:61" ht="17.25" customHeight="1">
      <c r="A6" s="291" t="s">
        <v>29</v>
      </c>
      <c r="B6" s="506" t="s">
        <v>30</v>
      </c>
      <c r="C6" s="454"/>
      <c r="D6" s="455"/>
      <c r="E6" s="507">
        <f>(I4+O4+U4+AA4+AG4+AM4+AS4+AY4+BE4+BE9+AY9+AS9+I9)/2</f>
        <v>0.53</v>
      </c>
      <c r="F6" s="457"/>
      <c r="G6" s="508">
        <f>(E6+E7)</f>
        <v>0.99500000000000011</v>
      </c>
      <c r="H6" s="347" t="s">
        <v>31</v>
      </c>
      <c r="I6" s="348">
        <f>+J6/$G4</f>
        <v>2.5999999999999999E-2</v>
      </c>
      <c r="J6" s="118">
        <f>SUM(J4:J5)</f>
        <v>3.9</v>
      </c>
      <c r="K6" s="119" t="s">
        <v>31</v>
      </c>
      <c r="L6" s="349">
        <f>SUM(L4:L5)</f>
        <v>4</v>
      </c>
      <c r="M6" s="350">
        <f>L6/($F12*$G5)</f>
        <v>4.5568466621098203E-2</v>
      </c>
      <c r="N6" s="351" t="s">
        <v>31</v>
      </c>
      <c r="O6" s="352">
        <f>+P6/$G4</f>
        <v>8.0000000000000002E-3</v>
      </c>
      <c r="P6" s="120">
        <f>SUM(P4:P5)</f>
        <v>1.2</v>
      </c>
      <c r="Q6" s="121" t="s">
        <v>31</v>
      </c>
      <c r="R6" s="353">
        <f>SUM(R4:R5)</f>
        <v>1</v>
      </c>
      <c r="S6" s="350">
        <f>R6/($F12*$G5)</f>
        <v>1.1392116655274551E-2</v>
      </c>
      <c r="T6" s="354" t="s">
        <v>31</v>
      </c>
      <c r="U6" s="355">
        <f>+V6/$G4</f>
        <v>2.5999999999999999E-2</v>
      </c>
      <c r="V6" s="122">
        <f>SUM(V4:V5)</f>
        <v>3.9</v>
      </c>
      <c r="W6" s="121" t="s">
        <v>31</v>
      </c>
      <c r="X6" s="353">
        <f>SUM(X4:X5)</f>
        <v>4</v>
      </c>
      <c r="Y6" s="350">
        <f>X6/($F12*$G5)</f>
        <v>4.5568466621098203E-2</v>
      </c>
      <c r="Z6" s="354" t="s">
        <v>31</v>
      </c>
      <c r="AA6" s="355">
        <f>+AB6/$G4</f>
        <v>1.7999999999999999E-2</v>
      </c>
      <c r="AB6" s="122">
        <f>SUM(AB4:AB5)</f>
        <v>2.6999999999999997</v>
      </c>
      <c r="AC6" s="121" t="s">
        <v>31</v>
      </c>
      <c r="AD6" s="353">
        <f>SUM(AD4:AD5)</f>
        <v>3</v>
      </c>
      <c r="AE6" s="350">
        <f>AD6/($F12*$G5)</f>
        <v>3.4176349965823652E-2</v>
      </c>
      <c r="AF6" s="354" t="s">
        <v>31</v>
      </c>
      <c r="AG6" s="355">
        <f>+AH6/$G4</f>
        <v>0.06</v>
      </c>
      <c r="AH6" s="122">
        <f>SUM(AH4:AH5)</f>
        <v>9</v>
      </c>
      <c r="AI6" s="121" t="s">
        <v>31</v>
      </c>
      <c r="AJ6" s="353">
        <f>SUM(AJ4:AJ5)</f>
        <v>9</v>
      </c>
      <c r="AK6" s="350">
        <f>AJ6/($F12*$G5)</f>
        <v>0.10252904989747094</v>
      </c>
      <c r="AL6" s="354" t="s">
        <v>31</v>
      </c>
      <c r="AM6" s="355">
        <f>+AN6/$G4</f>
        <v>2.5999999999999999E-2</v>
      </c>
      <c r="AN6" s="122">
        <f>SUM(AN4:AN5)</f>
        <v>3.9</v>
      </c>
      <c r="AO6" s="121" t="s">
        <v>31</v>
      </c>
      <c r="AP6" s="353">
        <f>SUM(AP4:AP5)</f>
        <v>4</v>
      </c>
      <c r="AQ6" s="350">
        <f>AP6/($F12*$G5)</f>
        <v>4.5568466621098203E-2</v>
      </c>
      <c r="AR6" s="347" t="s">
        <v>31</v>
      </c>
      <c r="AS6" s="348">
        <f>+AT6/$G4</f>
        <v>4.2000000000000003E-2</v>
      </c>
      <c r="AT6" s="118">
        <f>SUM(AT4:AT5)</f>
        <v>6.3000000000000007</v>
      </c>
      <c r="AU6" s="119" t="s">
        <v>31</v>
      </c>
      <c r="AV6" s="349">
        <f>SUM(AV4:AV5)</f>
        <v>6</v>
      </c>
      <c r="AW6" s="350">
        <f>AV6/($F12*$G5)</f>
        <v>6.8352699931647304E-2</v>
      </c>
      <c r="AX6" s="347" t="s">
        <v>31</v>
      </c>
      <c r="AY6" s="348">
        <f>+AZ6/$G4</f>
        <v>0.24</v>
      </c>
      <c r="AZ6" s="118">
        <f>SUM(AZ4:AZ5)</f>
        <v>36</v>
      </c>
      <c r="BA6" s="119" t="s">
        <v>31</v>
      </c>
      <c r="BB6" s="349">
        <f>SUM(BB4:BB5)</f>
        <v>35</v>
      </c>
      <c r="BC6" s="350">
        <f>BB6/($F12*$G5)</f>
        <v>0.39872408293460926</v>
      </c>
      <c r="BD6" s="347" t="s">
        <v>31</v>
      </c>
      <c r="BE6" s="348">
        <f>+BF6/$G4</f>
        <v>1.1999999999999999E-2</v>
      </c>
      <c r="BF6" s="118">
        <f>SUM(BF4:BF5)</f>
        <v>1.7999999999999998</v>
      </c>
      <c r="BG6" s="119" t="s">
        <v>31</v>
      </c>
      <c r="BH6" s="349">
        <f>SUM(BH4:BH5)</f>
        <v>1.5</v>
      </c>
      <c r="BI6" s="350">
        <f>BH6/($F12*$G5)</f>
        <v>1.7088174982911826E-2</v>
      </c>
    </row>
    <row r="7" spans="1:61" ht="17.25" customHeight="1">
      <c r="A7" s="291" t="s">
        <v>33</v>
      </c>
      <c r="B7" s="509" t="s">
        <v>34</v>
      </c>
      <c r="C7" s="461"/>
      <c r="D7" s="462"/>
      <c r="E7" s="510">
        <f>(I5+O5+U5+AA5+AG5+AM5+AS5+AY5+BE5+AS10+AY10+BE10+I10)/2</f>
        <v>0.46500000000000008</v>
      </c>
      <c r="F7" s="464"/>
      <c r="G7" s="459"/>
      <c r="H7" s="511">
        <f>VLOOKUP(H3,Plancha2!A:M,2,FALSE())</f>
        <v>0</v>
      </c>
      <c r="I7" s="474"/>
      <c r="J7" s="474"/>
      <c r="K7" s="357"/>
      <c r="L7" s="502">
        <f>J6</f>
        <v>3.9</v>
      </c>
      <c r="M7" s="475"/>
      <c r="N7" s="358" t="str">
        <f>VLOOKUP(N3,Friteuse!A:M,2,FALSE())</f>
        <v>Oeuf</v>
      </c>
      <c r="O7" s="359"/>
      <c r="P7" s="359"/>
      <c r="Q7" s="123"/>
      <c r="R7" s="502">
        <f>VLOOKUP(N3,Friteuse!A:M,3,FALSE())*P6</f>
        <v>0.24</v>
      </c>
      <c r="S7" s="475"/>
      <c r="T7" s="356" t="str">
        <f>VLOOKUP(T3,Wok!A:M,2,FALSE())</f>
        <v>Aiguillettes</v>
      </c>
      <c r="U7" s="360"/>
      <c r="V7" s="360"/>
      <c r="W7" s="123"/>
      <c r="X7" s="502">
        <f>VLOOKUP(T3,Wok!A:M,3,FALSE())*V6</f>
        <v>2.5350000000000001</v>
      </c>
      <c r="Y7" s="475"/>
      <c r="Z7" s="356" t="str">
        <f>VLOOKUP(Z3,Poele!A:M,2,FALSE())</f>
        <v xml:space="preserve">Porc sauté </v>
      </c>
      <c r="AA7" s="360"/>
      <c r="AB7" s="360"/>
      <c r="AC7" s="123"/>
      <c r="AD7" s="502">
        <f>VLOOKUP(Z3,Poele!A:M,3,FALSE())*AB6</f>
        <v>1.8899999999999997</v>
      </c>
      <c r="AE7" s="475"/>
      <c r="AF7" s="356" t="str">
        <f>VLOOKUP(AF3,Four!A:M,2,FALSE())</f>
        <v>Dinde sauté</v>
      </c>
      <c r="AG7" s="360"/>
      <c r="AH7" s="360"/>
      <c r="AI7" s="123"/>
      <c r="AJ7" s="502">
        <f>VLOOKUP(AF3,Four!A:M,3,FALSE())*AH6</f>
        <v>6.03</v>
      </c>
      <c r="AK7" s="475"/>
      <c r="AL7" s="356" t="str">
        <f>VLOOKUP(AL3,Four!A:M,2,FALSE())</f>
        <v>Lieu</v>
      </c>
      <c r="AM7" s="360"/>
      <c r="AN7" s="360"/>
      <c r="AO7" s="123"/>
      <c r="AP7" s="502">
        <f>VLOOKUP(AL3,Four!A:M,3,FALSE())*AN6</f>
        <v>2.145</v>
      </c>
      <c r="AQ7" s="475"/>
      <c r="AR7" s="504" t="s">
        <v>42</v>
      </c>
      <c r="AS7" s="461"/>
      <c r="AT7" s="461"/>
      <c r="AU7" s="357"/>
      <c r="AV7" s="502">
        <f>AT6</f>
        <v>6.3000000000000007</v>
      </c>
      <c r="AW7" s="475"/>
      <c r="AX7" s="501" t="s">
        <v>156</v>
      </c>
      <c r="AY7" s="471"/>
      <c r="AZ7" s="471"/>
      <c r="BA7" s="124"/>
      <c r="BB7" s="502">
        <f>AZ6</f>
        <v>36</v>
      </c>
      <c r="BC7" s="475"/>
      <c r="BD7" s="501" t="s">
        <v>157</v>
      </c>
      <c r="BE7" s="471"/>
      <c r="BF7" s="471"/>
      <c r="BG7" s="124"/>
      <c r="BH7" s="502">
        <f>BF6</f>
        <v>1.7999999999999998</v>
      </c>
      <c r="BI7" s="503"/>
    </row>
    <row r="8" spans="1:61" ht="17.25" customHeight="1">
      <c r="A8" s="291" t="s">
        <v>45</v>
      </c>
      <c r="B8" s="516" t="s">
        <v>46</v>
      </c>
      <c r="C8" s="445"/>
      <c r="D8" s="517"/>
      <c r="E8" s="518">
        <f>(L6+R6+X6+AD6+AJ6+AP6+AV6+BB6+BH6+BH11+(BB11*BB8/1000)+L11+AV11)/(G5*F12)</f>
        <v>1</v>
      </c>
      <c r="F8" s="474"/>
      <c r="G8" s="475"/>
      <c r="H8" s="487" t="s">
        <v>160</v>
      </c>
      <c r="I8" s="431"/>
      <c r="J8" s="431"/>
      <c r="K8" s="431"/>
      <c r="L8" s="431"/>
      <c r="M8" s="432"/>
      <c r="N8" s="358" t="str">
        <f>VLOOKUP(N3,Friteuse!A:M,4,FALSE())</f>
        <v>Carotte</v>
      </c>
      <c r="O8" s="125"/>
      <c r="P8" s="125"/>
      <c r="Q8" s="125"/>
      <c r="R8" s="512">
        <f>VLOOKUP(N3,Friteuse!A:M,5,FALSE())*P6</f>
        <v>0.54</v>
      </c>
      <c r="S8" s="475"/>
      <c r="T8" s="356" t="str">
        <f>VLOOKUP(T3,Wok!A:M,4,FALSE())</f>
        <v>Chorizo</v>
      </c>
      <c r="U8" s="123"/>
      <c r="V8" s="123"/>
      <c r="W8" s="123"/>
      <c r="X8" s="512">
        <f>VLOOKUP(T3,Wok!A:M,5,FALSE())*V6</f>
        <v>0.78</v>
      </c>
      <c r="Y8" s="475"/>
      <c r="Z8" s="356" t="str">
        <f>VLOOKUP(Z3,Poele!A:M,4,FALSE())</f>
        <v>Ananas</v>
      </c>
      <c r="AA8" s="123"/>
      <c r="AB8" s="123"/>
      <c r="AC8" s="123"/>
      <c r="AD8" s="512">
        <f>VLOOKUP(Z3,Poele!A:M,5,FALSE())*AB6</f>
        <v>0.53999999999999992</v>
      </c>
      <c r="AE8" s="475"/>
      <c r="AF8" s="356" t="str">
        <f>VLOOKUP(AF3,Four!A:M,4,FALSE())</f>
        <v>Carottes</v>
      </c>
      <c r="AG8" s="123"/>
      <c r="AH8" s="123"/>
      <c r="AI8" s="123"/>
      <c r="AJ8" s="512">
        <f>VLOOKUP(AF3,Four!A:M,5,FALSE())*AH6</f>
        <v>0.54</v>
      </c>
      <c r="AK8" s="475"/>
      <c r="AL8" s="356" t="str">
        <f>VLOOKUP(AL3,Four!A:M,4,FALSE())</f>
        <v>Lait de coco</v>
      </c>
      <c r="AM8" s="123"/>
      <c r="AN8" s="123"/>
      <c r="AO8" s="123"/>
      <c r="AP8" s="512">
        <f>VLOOKUP(AL3,Four!A:M,5,FALSE())*AN6</f>
        <v>1.365</v>
      </c>
      <c r="AQ8" s="475"/>
      <c r="AR8" s="481" t="s">
        <v>54</v>
      </c>
      <c r="AS8" s="431"/>
      <c r="AT8" s="431"/>
      <c r="AU8" s="431"/>
      <c r="AV8" s="431"/>
      <c r="AW8" s="432"/>
      <c r="AX8" s="481" t="s">
        <v>55</v>
      </c>
      <c r="AY8" s="431"/>
      <c r="AZ8" s="431"/>
      <c r="BA8" s="431"/>
      <c r="BB8" s="527">
        <v>60</v>
      </c>
      <c r="BC8" s="432"/>
      <c r="BD8" s="483" t="s">
        <v>163</v>
      </c>
      <c r="BE8" s="431"/>
      <c r="BF8" s="431"/>
      <c r="BG8" s="431"/>
      <c r="BH8" s="431"/>
      <c r="BI8" s="484"/>
    </row>
    <row r="9" spans="1:61" ht="17.25" customHeight="1">
      <c r="A9" s="291" t="s">
        <v>56</v>
      </c>
      <c r="B9" s="513" t="s">
        <v>158</v>
      </c>
      <c r="C9" s="445"/>
      <c r="D9" s="445"/>
      <c r="E9" s="445"/>
      <c r="F9" s="514">
        <v>0.6</v>
      </c>
      <c r="G9" s="446"/>
      <c r="H9" s="333" t="s">
        <v>23</v>
      </c>
      <c r="I9" s="105">
        <v>7.0000000000000007E-2</v>
      </c>
      <c r="J9" s="106">
        <f>+I9*$C4*$F$9</f>
        <v>4.2</v>
      </c>
      <c r="K9" s="333" t="s">
        <v>24</v>
      </c>
      <c r="L9" s="107">
        <v>4</v>
      </c>
      <c r="M9" s="334">
        <f>L9/($F12*$C5)</f>
        <v>6.835269993164729E-2</v>
      </c>
      <c r="N9" s="358" t="str">
        <f>VLOOKUP(N3,Friteuse!A:M,6,FALSE())</f>
        <v>Farine</v>
      </c>
      <c r="O9" s="125"/>
      <c r="P9" s="125"/>
      <c r="Q9" s="125"/>
      <c r="R9" s="512">
        <f>VLOOKUP(N3,Friteuse!A:M,7,FALSE())*P6</f>
        <v>0.36</v>
      </c>
      <c r="S9" s="475"/>
      <c r="T9" s="356" t="str">
        <f>VLOOKUP(T3,Wok!A:M,6,FALSE())</f>
        <v>Oignon</v>
      </c>
      <c r="U9" s="123"/>
      <c r="V9" s="123"/>
      <c r="W9" s="123"/>
      <c r="X9" s="512">
        <f>VLOOKUP(T3,Wok!A:M,7,FALSE())*V6</f>
        <v>0.39</v>
      </c>
      <c r="Y9" s="475"/>
      <c r="Z9" s="356" t="str">
        <f>VLOOKUP(Z3,Poele!A:M,6,FALSE())</f>
        <v>Oignon</v>
      </c>
      <c r="AA9" s="123"/>
      <c r="AB9" s="123"/>
      <c r="AC9" s="123"/>
      <c r="AD9" s="512">
        <f>VLOOKUP(Z3,Poele!A:M,7,FALSE())*AB6</f>
        <v>0.26999999999999996</v>
      </c>
      <c r="AE9" s="475"/>
      <c r="AF9" s="356" t="str">
        <f>VLOOKUP(AF3,Four!A:M,6,FALSE())</f>
        <v>Poireaux</v>
      </c>
      <c r="AG9" s="123"/>
      <c r="AH9" s="123"/>
      <c r="AI9" s="123"/>
      <c r="AJ9" s="512">
        <f>VLOOKUP(AF3,Four!A:M,7,FALSE())*AH6</f>
        <v>0.54</v>
      </c>
      <c r="AK9" s="475"/>
      <c r="AL9" s="356" t="str">
        <f>VLOOKUP(AL3,Four!A:M,6,FALSE())</f>
        <v>Sce soja</v>
      </c>
      <c r="AM9" s="123"/>
      <c r="AN9" s="123"/>
      <c r="AO9" s="123"/>
      <c r="AP9" s="512">
        <f>VLOOKUP(AL3,Four!A:M,7,FALSE())*AN6</f>
        <v>0.39</v>
      </c>
      <c r="AQ9" s="475"/>
      <c r="AR9" s="333" t="s">
        <v>23</v>
      </c>
      <c r="AS9" s="105">
        <v>0.08</v>
      </c>
      <c r="AT9" s="106">
        <f>+AS9*$C4*$F$9</f>
        <v>4.8</v>
      </c>
      <c r="AU9" s="333" t="s">
        <v>24</v>
      </c>
      <c r="AV9" s="107">
        <v>4</v>
      </c>
      <c r="AW9" s="334">
        <f>AV9/($F12*$C5)</f>
        <v>6.835269993164729E-2</v>
      </c>
      <c r="AX9" s="361" t="s">
        <v>23</v>
      </c>
      <c r="AY9" s="105">
        <v>0.03</v>
      </c>
      <c r="AZ9" s="126">
        <f>AY9*C4*F9/(BB8/1000)</f>
        <v>29.999999999999996</v>
      </c>
      <c r="BA9" s="333" t="s">
        <v>24</v>
      </c>
      <c r="BB9" s="127">
        <v>25</v>
      </c>
      <c r="BC9" s="334">
        <f>(BB9*BB8/1000)/($F12*$C5)</f>
        <v>2.5632262474367735E-2</v>
      </c>
      <c r="BD9" s="333" t="s">
        <v>23</v>
      </c>
      <c r="BE9" s="105">
        <v>7.0000000000000007E-2</v>
      </c>
      <c r="BF9" s="106">
        <f>+BE9*$C4*$F$9</f>
        <v>4.2</v>
      </c>
      <c r="BG9" s="333" t="s">
        <v>24</v>
      </c>
      <c r="BH9" s="107">
        <v>4</v>
      </c>
      <c r="BI9" s="334">
        <f>BH9/($F12*$C5)</f>
        <v>6.835269993164729E-2</v>
      </c>
    </row>
    <row r="10" spans="1:61" ht="17.25" customHeight="1">
      <c r="A10" s="278"/>
      <c r="B10" s="515" t="s">
        <v>178</v>
      </c>
      <c r="C10" s="445"/>
      <c r="D10" s="445"/>
      <c r="E10" s="446"/>
      <c r="F10" s="362">
        <f>(L4+R4+L9+X4+AD4+AJ4+AP4+AV4+AV9+BB4+BB9*(BB8/1000)+BH4+BH9)/C5</f>
        <v>0.61</v>
      </c>
      <c r="G10" s="363">
        <f>F10/(F10+F11)</f>
        <v>0.5324720670391061</v>
      </c>
      <c r="H10" s="115" t="s">
        <v>27</v>
      </c>
      <c r="I10" s="338">
        <v>7.0000000000000007E-2</v>
      </c>
      <c r="J10" s="339">
        <f>+I10*$E4*$F9</f>
        <v>2.1</v>
      </c>
      <c r="K10" s="115" t="s">
        <v>28</v>
      </c>
      <c r="L10" s="340">
        <v>2</v>
      </c>
      <c r="M10" s="341">
        <f>L10/($F12*$E5)</f>
        <v>6.835269993164729E-2</v>
      </c>
      <c r="N10" s="356" t="str">
        <f>VLOOKUP(N3,Friteuse!A:M,8,FALSE())</f>
        <v>Lait</v>
      </c>
      <c r="O10" s="125"/>
      <c r="P10" s="125"/>
      <c r="Q10" s="125"/>
      <c r="R10" s="512">
        <f>VLOOKUP(N3,Friteuse!A:M,9,FALSE())*P6</f>
        <v>0.06</v>
      </c>
      <c r="S10" s="475"/>
      <c r="T10" s="356" t="str">
        <f>VLOOKUP(T3,Wok!A:M,8,FALSE())</f>
        <v>Crème</v>
      </c>
      <c r="U10" s="123"/>
      <c r="V10" s="123"/>
      <c r="W10" s="123"/>
      <c r="X10" s="512">
        <f>VLOOKUP(T3,Wok!A:M,9,FALSE())*V6</f>
        <v>0.19500000000000001</v>
      </c>
      <c r="Y10" s="475"/>
      <c r="Z10" s="356" t="str">
        <f>VLOOKUP(Z3,Poele!A:M,8,FALSE())</f>
        <v>Curry - Cumin</v>
      </c>
      <c r="AA10" s="123"/>
      <c r="AB10" s="123"/>
      <c r="AC10" s="123"/>
      <c r="AD10" s="512">
        <f>VLOOKUP(Z3,Poele!A:M,9,FALSE())*AB6</f>
        <v>0</v>
      </c>
      <c r="AE10" s="475"/>
      <c r="AF10" s="356" t="str">
        <f>VLOOKUP(AF3,Four!A:M,8,FALSE())</f>
        <v>Celeri</v>
      </c>
      <c r="AG10" s="123"/>
      <c r="AH10" s="123"/>
      <c r="AI10" s="123"/>
      <c r="AJ10" s="512">
        <f>VLOOKUP(AF3,Four!A:M,9,FALSE())*AH6</f>
        <v>0.54</v>
      </c>
      <c r="AK10" s="475"/>
      <c r="AL10" s="356" t="str">
        <f>VLOOKUP(AL3,Four!A:M,8,FALSE())</f>
        <v>Sésame</v>
      </c>
      <c r="AM10" s="123"/>
      <c r="AN10" s="123"/>
      <c r="AO10" s="123"/>
      <c r="AP10" s="512">
        <f>VLOOKUP(AL3,Four!A:M,9,FALSE())*AN6</f>
        <v>0</v>
      </c>
      <c r="AQ10" s="475"/>
      <c r="AR10" s="115" t="s">
        <v>27</v>
      </c>
      <c r="AS10" s="338">
        <v>0.09</v>
      </c>
      <c r="AT10" s="339">
        <f>+AS10*$E4*$F9</f>
        <v>2.6999999999999997</v>
      </c>
      <c r="AU10" s="115" t="s">
        <v>28</v>
      </c>
      <c r="AV10" s="340">
        <v>2</v>
      </c>
      <c r="AW10" s="341">
        <f>AV10/($F12*$E5)</f>
        <v>6.835269993164729E-2</v>
      </c>
      <c r="AX10" s="128" t="s">
        <v>27</v>
      </c>
      <c r="AY10" s="338">
        <v>0.03</v>
      </c>
      <c r="AZ10" s="364">
        <f>AY10*E4*F9/(BB8/1000)</f>
        <v>14.999999999999998</v>
      </c>
      <c r="BA10" s="115" t="s">
        <v>28</v>
      </c>
      <c r="BB10" s="365">
        <v>13</v>
      </c>
      <c r="BC10" s="341">
        <f>(BB10*BB8/1000)/($F12*$E5)</f>
        <v>2.6657552973342446E-2</v>
      </c>
      <c r="BD10" s="115" t="s">
        <v>27</v>
      </c>
      <c r="BE10" s="338">
        <v>7.0000000000000007E-2</v>
      </c>
      <c r="BF10" s="339">
        <f>+BE10*$E4*$F9</f>
        <v>2.1</v>
      </c>
      <c r="BG10" s="115" t="s">
        <v>28</v>
      </c>
      <c r="BH10" s="340">
        <v>2</v>
      </c>
      <c r="BI10" s="341">
        <f>BH10/($F12*$E5)</f>
        <v>6.835269993164729E-2</v>
      </c>
    </row>
    <row r="11" spans="1:61" ht="17.25" customHeight="1">
      <c r="A11" s="278"/>
      <c r="B11" s="447"/>
      <c r="C11" s="434"/>
      <c r="D11" s="434"/>
      <c r="E11" s="435"/>
      <c r="F11" s="366">
        <f>(L5+L10+R5+X5+AD5+AJ5+AP5+AV5+AV10+BB5+BB10*(BB8/1000)+BH10+BH5)/E5</f>
        <v>0.53560000000000008</v>
      </c>
      <c r="G11" s="367">
        <f>F11/(F10+F11)</f>
        <v>0.46752793296089395</v>
      </c>
      <c r="H11" s="347" t="s">
        <v>31</v>
      </c>
      <c r="I11" s="348">
        <f>+J11/$G4</f>
        <v>4.2000000000000003E-2</v>
      </c>
      <c r="J11" s="118">
        <f>SUM(J9:J10)</f>
        <v>6.3000000000000007</v>
      </c>
      <c r="K11" s="119" t="s">
        <v>31</v>
      </c>
      <c r="L11" s="349">
        <f>SUM(L9:L10)</f>
        <v>6</v>
      </c>
      <c r="M11" s="350">
        <f>L11/($F12*$G5)</f>
        <v>6.8352699931647304E-2</v>
      </c>
      <c r="N11" s="356" t="str">
        <f>VLOOKUP(N3,Friteuse!A:M,10,FALSE())</f>
        <v>Levure</v>
      </c>
      <c r="O11" s="124"/>
      <c r="P11" s="124"/>
      <c r="Q11" s="124"/>
      <c r="R11" s="512">
        <f>VLOOKUP(N3,Friteuse!A:M,11,FALSE())*P6</f>
        <v>1.1999999999999999E-3</v>
      </c>
      <c r="S11" s="475"/>
      <c r="T11" s="356">
        <f>VLOOKUP(T3,Wok!A:M,10,FALSE())</f>
        <v>0</v>
      </c>
      <c r="U11" s="129"/>
      <c r="V11" s="129"/>
      <c r="W11" s="129"/>
      <c r="X11" s="512">
        <f>VLOOKUP(T3,Wok!A:M,11,FALSE())*V6</f>
        <v>0</v>
      </c>
      <c r="Y11" s="475"/>
      <c r="Z11" s="356" t="str">
        <f>VLOOKUP(Z3,Poele!A:M,10,FALSE())</f>
        <v>Pulco- vin blc</v>
      </c>
      <c r="AA11" s="129"/>
      <c r="AB11" s="129"/>
      <c r="AC11" s="129"/>
      <c r="AD11" s="512">
        <f>VLOOKUP(Z3,Poele!A:M,11,FALSE())*AB6</f>
        <v>0</v>
      </c>
      <c r="AE11" s="475"/>
      <c r="AF11" s="356" t="str">
        <f>VLOOKUP(AF3,Four!A:M,10,FALSE())</f>
        <v>Champignons</v>
      </c>
      <c r="AG11" s="129"/>
      <c r="AH11" s="129"/>
      <c r="AI11" s="129"/>
      <c r="AJ11" s="512">
        <f>VLOOKUP(AF3,Four!A:M,11,FALSE())*AH6</f>
        <v>0.80999999999999994</v>
      </c>
      <c r="AK11" s="475"/>
      <c r="AL11" s="356">
        <f>VLOOKUP(AL3,Four!A:M,10,FALSE())</f>
        <v>0</v>
      </c>
      <c r="AM11" s="129"/>
      <c r="AN11" s="129"/>
      <c r="AO11" s="129"/>
      <c r="AP11" s="512">
        <f>VLOOKUP(AL3,Four!A:M,11,FALSE())*AN6</f>
        <v>0</v>
      </c>
      <c r="AQ11" s="475"/>
      <c r="AR11" s="347" t="s">
        <v>31</v>
      </c>
      <c r="AS11" s="348">
        <f>+AT11/$G4</f>
        <v>0.05</v>
      </c>
      <c r="AT11" s="118">
        <f>SUM(AT9:AT10)</f>
        <v>7.5</v>
      </c>
      <c r="AU11" s="119" t="s">
        <v>31</v>
      </c>
      <c r="AV11" s="349">
        <f>SUM(AV9:AV10)</f>
        <v>6</v>
      </c>
      <c r="AW11" s="350">
        <f>AV11/($F12*$G5)</f>
        <v>6.8352699931647304E-2</v>
      </c>
      <c r="AX11" s="368" t="s">
        <v>31</v>
      </c>
      <c r="AY11" s="348"/>
      <c r="AZ11" s="130">
        <f>SUM(AZ9:AZ10)</f>
        <v>44.999999999999993</v>
      </c>
      <c r="BA11" s="119" t="s">
        <v>31</v>
      </c>
      <c r="BB11" s="369">
        <f>SUM(BB9:BB10)</f>
        <v>38</v>
      </c>
      <c r="BC11" s="350">
        <f>(BB11*BB8/1000)/($F12*$G5)</f>
        <v>2.5974025974025972E-2</v>
      </c>
      <c r="BD11" s="347" t="s">
        <v>31</v>
      </c>
      <c r="BE11" s="348">
        <f>+BF11/$G4</f>
        <v>4.2000000000000003E-2</v>
      </c>
      <c r="BF11" s="118">
        <f>SUM(BF9:BF10)</f>
        <v>6.3000000000000007</v>
      </c>
      <c r="BG11" s="119" t="s">
        <v>31</v>
      </c>
      <c r="BH11" s="349">
        <f>SUM(BH9:BH10)</f>
        <v>6</v>
      </c>
      <c r="BI11" s="350">
        <f>BH11/($F12*$G5)</f>
        <v>6.8352699931647304E-2</v>
      </c>
    </row>
    <row r="12" spans="1:61" ht="17.25" customHeight="1">
      <c r="A12" s="291"/>
      <c r="B12" s="525" t="s">
        <v>159</v>
      </c>
      <c r="C12" s="431"/>
      <c r="D12" s="431"/>
      <c r="E12" s="432"/>
      <c r="F12" s="526">
        <f>(L6+L11+R6+X6+AD6+AJ6+AP6+AV6+AV11+BB11*BB8/1000+BB6+BH6+BH11)/G5</f>
        <v>0.58520000000000005</v>
      </c>
      <c r="G12" s="435"/>
      <c r="H12" s="356" t="str">
        <f>VLOOKUP(H8,Plancha2!A:M,2,FALSE())</f>
        <v>Lamelle encornet</v>
      </c>
      <c r="I12" s="131"/>
      <c r="J12" s="124"/>
      <c r="K12" s="124"/>
      <c r="L12" s="502">
        <f>J11</f>
        <v>6.3000000000000007</v>
      </c>
      <c r="M12" s="475"/>
      <c r="N12" s="356" t="str">
        <f>VLOOKUP(N3,Friteuse!A:M,12,FALSE())</f>
        <v>Curry gold</v>
      </c>
      <c r="O12" s="357"/>
      <c r="P12" s="357"/>
      <c r="Q12" s="357"/>
      <c r="R12" s="505">
        <f>VLOOKUP(N3,Friteuse!A:M,13,FALSE())*P6</f>
        <v>1.1999999999999999E-3</v>
      </c>
      <c r="S12" s="435"/>
      <c r="T12" s="356">
        <f>VLOOKUP(T3,Wok!A:M,12,FALSE())</f>
        <v>0</v>
      </c>
      <c r="U12" s="370"/>
      <c r="V12" s="370"/>
      <c r="W12" s="370"/>
      <c r="X12" s="505">
        <f>VLOOKUP(T3,Wok!A:M,13,FALSE())*V6</f>
        <v>0</v>
      </c>
      <c r="Y12" s="435"/>
      <c r="Z12" s="356">
        <f>VLOOKUP(Z3,Poele!A:M,12,FALSE())</f>
        <v>0</v>
      </c>
      <c r="AA12" s="370"/>
      <c r="AB12" s="370"/>
      <c r="AC12" s="370"/>
      <c r="AD12" s="505">
        <f>VLOOKUP(Z3,Poele!A:M,13,FALSE())*AB6</f>
        <v>0</v>
      </c>
      <c r="AE12" s="435"/>
      <c r="AF12" s="356" t="str">
        <f>VLOOKUP(AF3,Four!A:M,12,FALSE())</f>
        <v>Oignons</v>
      </c>
      <c r="AG12" s="370"/>
      <c r="AH12" s="370"/>
      <c r="AI12" s="370"/>
      <c r="AJ12" s="505">
        <f>VLOOKUP(AF3,Four!A:M,13,FALSE())*AH6</f>
        <v>0.54</v>
      </c>
      <c r="AK12" s="435"/>
      <c r="AL12" s="356">
        <f>VLOOKUP(AL3,Four!A:M,12,FALSE())</f>
        <v>0</v>
      </c>
      <c r="AM12" s="370"/>
      <c r="AN12" s="370"/>
      <c r="AO12" s="370"/>
      <c r="AP12" s="505">
        <f>VLOOKUP(AL3,Four!A:M,13,FALSE())*AN6</f>
        <v>0</v>
      </c>
      <c r="AQ12" s="435"/>
      <c r="AR12" s="371" t="s">
        <v>74</v>
      </c>
      <c r="AS12" s="131"/>
      <c r="AT12" s="124"/>
      <c r="AU12" s="124"/>
      <c r="AV12" s="502">
        <f>AT11</f>
        <v>7.5</v>
      </c>
      <c r="AW12" s="475"/>
      <c r="AX12" s="504" t="s">
        <v>75</v>
      </c>
      <c r="AY12" s="461"/>
      <c r="AZ12" s="461"/>
      <c r="BA12" s="372"/>
      <c r="BB12" s="502">
        <f>AZ11*(BB8/1000)</f>
        <v>2.6999999999999993</v>
      </c>
      <c r="BC12" s="475"/>
      <c r="BD12" s="524" t="s">
        <v>115</v>
      </c>
      <c r="BE12" s="461"/>
      <c r="BF12" s="461"/>
      <c r="BG12" s="372"/>
      <c r="BH12" s="502">
        <f>BF11</f>
        <v>6.3000000000000007</v>
      </c>
      <c r="BI12" s="503"/>
    </row>
    <row r="13" spans="1:61" ht="17.25" customHeight="1">
      <c r="A13" s="55">
        <f>A3+1</f>
        <v>45313</v>
      </c>
      <c r="B13" s="520" t="s">
        <v>8</v>
      </c>
      <c r="C13" s="435"/>
      <c r="D13" s="520" t="s">
        <v>9</v>
      </c>
      <c r="E13" s="435"/>
      <c r="F13" s="83" t="s">
        <v>10</v>
      </c>
      <c r="G13" s="312"/>
      <c r="H13" s="521" t="s">
        <v>184</v>
      </c>
      <c r="I13" s="431" t="s">
        <v>184</v>
      </c>
      <c r="J13" s="431" t="s">
        <v>184</v>
      </c>
      <c r="K13" s="431" t="s">
        <v>184</v>
      </c>
      <c r="L13" s="431" t="s">
        <v>184</v>
      </c>
      <c r="M13" s="432" t="s">
        <v>184</v>
      </c>
      <c r="N13" s="522" t="s">
        <v>192</v>
      </c>
      <c r="O13" s="431"/>
      <c r="P13" s="431"/>
      <c r="Q13" s="431"/>
      <c r="R13" s="431"/>
      <c r="S13" s="432"/>
      <c r="T13" s="523" t="s">
        <v>185</v>
      </c>
      <c r="U13" s="431" t="s">
        <v>185</v>
      </c>
      <c r="V13" s="431" t="s">
        <v>185</v>
      </c>
      <c r="W13" s="431" t="s">
        <v>185</v>
      </c>
      <c r="X13" s="431" t="s">
        <v>185</v>
      </c>
      <c r="Y13" s="432" t="s">
        <v>185</v>
      </c>
      <c r="Z13" s="523" t="s">
        <v>242</v>
      </c>
      <c r="AA13" s="431" t="s">
        <v>242</v>
      </c>
      <c r="AB13" s="431" t="s">
        <v>242</v>
      </c>
      <c r="AC13" s="431" t="s">
        <v>242</v>
      </c>
      <c r="AD13" s="431" t="s">
        <v>242</v>
      </c>
      <c r="AE13" s="432" t="s">
        <v>242</v>
      </c>
      <c r="AF13" s="519" t="s">
        <v>277</v>
      </c>
      <c r="AG13" s="431"/>
      <c r="AH13" s="431"/>
      <c r="AI13" s="431"/>
      <c r="AJ13" s="431"/>
      <c r="AK13" s="432"/>
      <c r="AL13" s="519" t="s">
        <v>221</v>
      </c>
      <c r="AM13" s="431" t="s">
        <v>221</v>
      </c>
      <c r="AN13" s="431" t="s">
        <v>221</v>
      </c>
      <c r="AO13" s="431" t="s">
        <v>221</v>
      </c>
      <c r="AP13" s="431" t="s">
        <v>221</v>
      </c>
      <c r="AQ13" s="432" t="s">
        <v>221</v>
      </c>
      <c r="AR13" s="481" t="s">
        <v>18</v>
      </c>
      <c r="AS13" s="431"/>
      <c r="AT13" s="431"/>
      <c r="AU13" s="431"/>
      <c r="AV13" s="431"/>
      <c r="AW13" s="432"/>
      <c r="AX13" s="482" t="s">
        <v>154</v>
      </c>
      <c r="AY13" s="434"/>
      <c r="AZ13" s="434"/>
      <c r="BA13" s="434"/>
      <c r="BB13" s="434"/>
      <c r="BC13" s="435"/>
      <c r="BD13" s="483" t="s">
        <v>155</v>
      </c>
      <c r="BE13" s="431"/>
      <c r="BF13" s="431"/>
      <c r="BG13" s="431"/>
      <c r="BH13" s="431"/>
      <c r="BI13" s="484"/>
    </row>
    <row r="14" spans="1:61" ht="17.25" customHeight="1">
      <c r="A14" s="269"/>
      <c r="B14" s="270" t="s">
        <v>22</v>
      </c>
      <c r="C14" s="271">
        <v>100</v>
      </c>
      <c r="D14" s="270" t="s">
        <v>22</v>
      </c>
      <c r="E14" s="272">
        <v>50</v>
      </c>
      <c r="F14" s="270" t="s">
        <v>22</v>
      </c>
      <c r="G14" s="56">
        <f t="shared" ref="G14:G15" si="1">+C14+E14</f>
        <v>150</v>
      </c>
      <c r="H14" s="276" t="s">
        <v>23</v>
      </c>
      <c r="I14" s="62">
        <v>0.05</v>
      </c>
      <c r="J14" s="63">
        <f>+I14*$C14*$F19</f>
        <v>3</v>
      </c>
      <c r="K14" s="276" t="s">
        <v>24</v>
      </c>
      <c r="L14" s="64">
        <v>3</v>
      </c>
      <c r="M14" s="277">
        <f>L14/($F22*$C15)</f>
        <v>5.1264524948735471E-2</v>
      </c>
      <c r="N14" s="273" t="s">
        <v>23</v>
      </c>
      <c r="O14" s="57">
        <v>0.01</v>
      </c>
      <c r="P14" s="58">
        <f>+O14*$C14*$F19</f>
        <v>0.6</v>
      </c>
      <c r="Q14" s="273" t="s">
        <v>24</v>
      </c>
      <c r="R14" s="84">
        <v>0.5</v>
      </c>
      <c r="S14" s="313">
        <f>R14/($F22*$C15)</f>
        <v>8.5440874914559112E-3</v>
      </c>
      <c r="T14" s="274" t="s">
        <v>23</v>
      </c>
      <c r="U14" s="60">
        <v>0.05</v>
      </c>
      <c r="V14" s="61">
        <f>+U14*$C14*$F19</f>
        <v>3</v>
      </c>
      <c r="W14" s="274" t="s">
        <v>24</v>
      </c>
      <c r="X14" s="59">
        <v>3</v>
      </c>
      <c r="Y14" s="275">
        <f>X14/($F22*$C15)</f>
        <v>5.1264524948735471E-2</v>
      </c>
      <c r="Z14" s="274" t="s">
        <v>23</v>
      </c>
      <c r="AA14" s="60">
        <v>0.03</v>
      </c>
      <c r="AB14" s="61">
        <f>+AA14*$C14*$F19</f>
        <v>1.7999999999999998</v>
      </c>
      <c r="AC14" s="274" t="s">
        <v>24</v>
      </c>
      <c r="AD14" s="59">
        <v>2</v>
      </c>
      <c r="AE14" s="275">
        <f>AD14/($F22*$C15)</f>
        <v>3.4176349965823645E-2</v>
      </c>
      <c r="AF14" s="274" t="s">
        <v>23</v>
      </c>
      <c r="AG14" s="60">
        <v>0.1</v>
      </c>
      <c r="AH14" s="61">
        <f>+AG14*$C14*$F19</f>
        <v>6</v>
      </c>
      <c r="AI14" s="274" t="s">
        <v>24</v>
      </c>
      <c r="AJ14" s="59">
        <v>6</v>
      </c>
      <c r="AK14" s="275">
        <f>AJ14/($F22*$C15)</f>
        <v>0.10252904989747094</v>
      </c>
      <c r="AL14" s="274" t="s">
        <v>23</v>
      </c>
      <c r="AM14" s="60">
        <v>0.05</v>
      </c>
      <c r="AN14" s="61">
        <f>+AM14*$C14*$F19</f>
        <v>3</v>
      </c>
      <c r="AO14" s="274" t="s">
        <v>24</v>
      </c>
      <c r="AP14" s="59">
        <v>3</v>
      </c>
      <c r="AQ14" s="275">
        <f>AP14/($F22*$C15)</f>
        <v>5.1264524948735471E-2</v>
      </c>
      <c r="AR14" s="276" t="s">
        <v>23</v>
      </c>
      <c r="AS14" s="62">
        <v>0.08</v>
      </c>
      <c r="AT14" s="63">
        <f>+AS14*$C14*$F19</f>
        <v>4.8</v>
      </c>
      <c r="AU14" s="276" t="s">
        <v>24</v>
      </c>
      <c r="AV14" s="64">
        <v>4</v>
      </c>
      <c r="AW14" s="277">
        <f>AV14/($F22*$C15)</f>
        <v>6.835269993164729E-2</v>
      </c>
      <c r="AX14" s="276" t="s">
        <v>23</v>
      </c>
      <c r="AY14" s="62">
        <v>0.43</v>
      </c>
      <c r="AZ14" s="63">
        <f>+AY14*$C14*$F19</f>
        <v>25.8</v>
      </c>
      <c r="BA14" s="276" t="s">
        <v>24</v>
      </c>
      <c r="BB14" s="64">
        <v>25</v>
      </c>
      <c r="BC14" s="277">
        <f>BB14/($F22*$C15)</f>
        <v>0.42720437457279559</v>
      </c>
      <c r="BD14" s="276" t="s">
        <v>23</v>
      </c>
      <c r="BE14" s="62">
        <v>0.02</v>
      </c>
      <c r="BF14" s="63">
        <f>+BE14*$C14*$F19</f>
        <v>1.2</v>
      </c>
      <c r="BG14" s="276" t="s">
        <v>24</v>
      </c>
      <c r="BH14" s="64">
        <v>1</v>
      </c>
      <c r="BI14" s="65">
        <f>BH14/($F22*$C15)</f>
        <v>1.7088174982911822E-2</v>
      </c>
    </row>
    <row r="15" spans="1:61" ht="17.25" customHeight="1">
      <c r="A15" s="278" t="s">
        <v>79</v>
      </c>
      <c r="B15" s="266" t="s">
        <v>26</v>
      </c>
      <c r="C15" s="66">
        <v>100</v>
      </c>
      <c r="D15" s="266" t="s">
        <v>26</v>
      </c>
      <c r="E15" s="67">
        <v>50</v>
      </c>
      <c r="F15" s="266" t="s">
        <v>26</v>
      </c>
      <c r="G15" s="279">
        <f t="shared" si="1"/>
        <v>150</v>
      </c>
      <c r="H15" s="70" t="s">
        <v>27</v>
      </c>
      <c r="I15" s="286">
        <v>0.03</v>
      </c>
      <c r="J15" s="287">
        <f>+I15*$E14*$F19</f>
        <v>0.89999999999999991</v>
      </c>
      <c r="K15" s="70" t="s">
        <v>28</v>
      </c>
      <c r="L15" s="288">
        <v>1</v>
      </c>
      <c r="M15" s="289">
        <f>L15/($F22*$E15)</f>
        <v>3.4176349965823645E-2</v>
      </c>
      <c r="N15" s="68" t="s">
        <v>27</v>
      </c>
      <c r="O15" s="280">
        <v>0.02</v>
      </c>
      <c r="P15" s="281">
        <f>+O15*$E14*$F19</f>
        <v>0.6</v>
      </c>
      <c r="Q15" s="68" t="s">
        <v>28</v>
      </c>
      <c r="R15" s="314">
        <v>0.5</v>
      </c>
      <c r="S15" s="315">
        <f>R15/($F22*$E15)</f>
        <v>1.7088174982911822E-2</v>
      </c>
      <c r="T15" s="69" t="s">
        <v>27</v>
      </c>
      <c r="U15" s="284">
        <v>0.03</v>
      </c>
      <c r="V15" s="285">
        <f>+U15*$E14*$F19</f>
        <v>0.89999999999999991</v>
      </c>
      <c r="W15" s="69" t="s">
        <v>28</v>
      </c>
      <c r="X15" s="282">
        <v>1</v>
      </c>
      <c r="Y15" s="283">
        <f>X15/($F22*$E15)</f>
        <v>3.4176349965823645E-2</v>
      </c>
      <c r="Z15" s="69" t="s">
        <v>27</v>
      </c>
      <c r="AA15" s="284">
        <v>0.03</v>
      </c>
      <c r="AB15" s="285">
        <f>+AA15*$E14*$F19</f>
        <v>0.89999999999999991</v>
      </c>
      <c r="AC15" s="69" t="s">
        <v>28</v>
      </c>
      <c r="AD15" s="282">
        <v>1</v>
      </c>
      <c r="AE15" s="283">
        <f>AD15/($F22*$E15)</f>
        <v>3.4176349965823645E-2</v>
      </c>
      <c r="AF15" s="69" t="s">
        <v>27</v>
      </c>
      <c r="AG15" s="284">
        <v>0.1</v>
      </c>
      <c r="AH15" s="285">
        <f>+AG15*$E14*$F19</f>
        <v>3</v>
      </c>
      <c r="AI15" s="69" t="s">
        <v>28</v>
      </c>
      <c r="AJ15" s="282">
        <v>3</v>
      </c>
      <c r="AK15" s="283">
        <f>AJ15/($F22*$E15)</f>
        <v>0.10252904989747094</v>
      </c>
      <c r="AL15" s="69" t="s">
        <v>27</v>
      </c>
      <c r="AM15" s="284">
        <v>0.03</v>
      </c>
      <c r="AN15" s="285">
        <f>+AM15*$E14*$F19</f>
        <v>0.89999999999999991</v>
      </c>
      <c r="AO15" s="69" t="s">
        <v>28</v>
      </c>
      <c r="AP15" s="282">
        <v>1</v>
      </c>
      <c r="AQ15" s="283">
        <f>AP15/($F22*$E15)</f>
        <v>3.4176349965823645E-2</v>
      </c>
      <c r="AR15" s="70" t="s">
        <v>27</v>
      </c>
      <c r="AS15" s="286">
        <v>0.09</v>
      </c>
      <c r="AT15" s="287">
        <f>+AS15*$E14*$F19</f>
        <v>2.6999999999999997</v>
      </c>
      <c r="AU15" s="70" t="s">
        <v>28</v>
      </c>
      <c r="AV15" s="288">
        <v>2</v>
      </c>
      <c r="AW15" s="289">
        <f>AV15/($F22*$E15)</f>
        <v>6.835269993164729E-2</v>
      </c>
      <c r="AX15" s="70" t="s">
        <v>27</v>
      </c>
      <c r="AY15" s="286">
        <v>0.34</v>
      </c>
      <c r="AZ15" s="287">
        <f>+AY15*$E14*$F19</f>
        <v>10.199999999999999</v>
      </c>
      <c r="BA15" s="70" t="s">
        <v>28</v>
      </c>
      <c r="BB15" s="288">
        <v>10</v>
      </c>
      <c r="BC15" s="289">
        <f>BB15/($F22*$E15)</f>
        <v>0.34176349965823649</v>
      </c>
      <c r="BD15" s="70" t="s">
        <v>27</v>
      </c>
      <c r="BE15" s="286">
        <v>0.02</v>
      </c>
      <c r="BF15" s="287">
        <f>+BE15*$E14*$F19</f>
        <v>0.6</v>
      </c>
      <c r="BG15" s="70" t="s">
        <v>28</v>
      </c>
      <c r="BH15" s="288">
        <v>0.5</v>
      </c>
      <c r="BI15" s="290">
        <f>BH15/($F22*$E15)</f>
        <v>1.7088174982911822E-2</v>
      </c>
    </row>
    <row r="16" spans="1:61" ht="17.25" customHeight="1">
      <c r="A16" s="291" t="s">
        <v>80</v>
      </c>
      <c r="B16" s="532" t="s">
        <v>30</v>
      </c>
      <c r="C16" s="454"/>
      <c r="D16" s="455"/>
      <c r="E16" s="533">
        <f>(I14+O14+U14+AA14+AG14+AM14+AS14+AY14+BE14+BE19+AY19+AS19+I19)/2</f>
        <v>0.53500000000000014</v>
      </c>
      <c r="F16" s="457"/>
      <c r="G16" s="534">
        <f>(E16+E17)</f>
        <v>1.0100000000000002</v>
      </c>
      <c r="H16" s="298" t="s">
        <v>31</v>
      </c>
      <c r="I16" s="299">
        <f>+J16/$G14</f>
        <v>2.5999999999999999E-2</v>
      </c>
      <c r="J16" s="74">
        <f>SUM(J14:J15)</f>
        <v>3.9</v>
      </c>
      <c r="K16" s="75" t="s">
        <v>31</v>
      </c>
      <c r="L16" s="300">
        <f>SUM(L14:L15)</f>
        <v>4</v>
      </c>
      <c r="M16" s="301">
        <f>L16/($F22*$G15)</f>
        <v>4.5568466621098203E-2</v>
      </c>
      <c r="N16" s="292" t="s">
        <v>31</v>
      </c>
      <c r="O16" s="293">
        <f>+P16/$G14</f>
        <v>8.0000000000000002E-3</v>
      </c>
      <c r="P16" s="71">
        <f>SUM(P14:P15)</f>
        <v>1.2</v>
      </c>
      <c r="Q16" s="85" t="s">
        <v>31</v>
      </c>
      <c r="R16" s="316">
        <f>SUM(R14:R15)</f>
        <v>1</v>
      </c>
      <c r="S16" s="295">
        <f>R16/($F22*$G15)</f>
        <v>1.1392116655274551E-2</v>
      </c>
      <c r="T16" s="296" t="s">
        <v>31</v>
      </c>
      <c r="U16" s="297">
        <f>+V16/$G14</f>
        <v>2.5999999999999999E-2</v>
      </c>
      <c r="V16" s="73">
        <f>SUM(V14:V15)</f>
        <v>3.9</v>
      </c>
      <c r="W16" s="72" t="s">
        <v>31</v>
      </c>
      <c r="X16" s="294">
        <f>SUM(X14:X15)</f>
        <v>4</v>
      </c>
      <c r="Y16" s="295">
        <f>X16/($F22*$G15)</f>
        <v>4.5568466621098203E-2</v>
      </c>
      <c r="Z16" s="296" t="s">
        <v>31</v>
      </c>
      <c r="AA16" s="297">
        <f>+AB16/$G14</f>
        <v>1.7999999999999999E-2</v>
      </c>
      <c r="AB16" s="73">
        <f>SUM(AB14:AB15)</f>
        <v>2.6999999999999997</v>
      </c>
      <c r="AC16" s="72" t="s">
        <v>31</v>
      </c>
      <c r="AD16" s="294">
        <f>SUM(AD14:AD15)</f>
        <v>3</v>
      </c>
      <c r="AE16" s="295">
        <f>AD16/($F22*$G15)</f>
        <v>3.4176349965823652E-2</v>
      </c>
      <c r="AF16" s="296" t="s">
        <v>31</v>
      </c>
      <c r="AG16" s="297">
        <f>+AH16/$G14</f>
        <v>0.06</v>
      </c>
      <c r="AH16" s="73">
        <f>SUM(AH14:AH15)</f>
        <v>9</v>
      </c>
      <c r="AI16" s="72" t="s">
        <v>31</v>
      </c>
      <c r="AJ16" s="294">
        <f>SUM(AJ14:AJ15)</f>
        <v>9</v>
      </c>
      <c r="AK16" s="295">
        <f>AJ16/($F22*$G15)</f>
        <v>0.10252904989747094</v>
      </c>
      <c r="AL16" s="296" t="s">
        <v>31</v>
      </c>
      <c r="AM16" s="297">
        <f>+AN16/$G14</f>
        <v>2.5999999999999999E-2</v>
      </c>
      <c r="AN16" s="73">
        <f>SUM(AN14:AN15)</f>
        <v>3.9</v>
      </c>
      <c r="AO16" s="72" t="s">
        <v>31</v>
      </c>
      <c r="AP16" s="294">
        <f>SUM(AP14:AP15)</f>
        <v>4</v>
      </c>
      <c r="AQ16" s="295">
        <f>AP16/($F22*$G15)</f>
        <v>4.5568466621098203E-2</v>
      </c>
      <c r="AR16" s="298" t="s">
        <v>31</v>
      </c>
      <c r="AS16" s="299">
        <f>+AT16/$G14</f>
        <v>0.05</v>
      </c>
      <c r="AT16" s="74">
        <f>SUM(AT14:AT15)</f>
        <v>7.5</v>
      </c>
      <c r="AU16" s="75" t="s">
        <v>31</v>
      </c>
      <c r="AV16" s="300">
        <f>SUM(AV14:AV15)</f>
        <v>6</v>
      </c>
      <c r="AW16" s="301">
        <f>AV16/($F22*$G15)</f>
        <v>6.8352699931647304E-2</v>
      </c>
      <c r="AX16" s="298" t="s">
        <v>31</v>
      </c>
      <c r="AY16" s="299">
        <f>+AZ16/$G14</f>
        <v>0.24</v>
      </c>
      <c r="AZ16" s="74">
        <f>SUM(AZ14:AZ15)</f>
        <v>36</v>
      </c>
      <c r="BA16" s="75" t="s">
        <v>31</v>
      </c>
      <c r="BB16" s="300">
        <f>SUM(BB14:BB15)</f>
        <v>35</v>
      </c>
      <c r="BC16" s="301">
        <f>BB16/($F22*$G15)</f>
        <v>0.39872408293460926</v>
      </c>
      <c r="BD16" s="298" t="s">
        <v>31</v>
      </c>
      <c r="BE16" s="299">
        <f>+BF16/$G14</f>
        <v>1.1999999999999999E-2</v>
      </c>
      <c r="BF16" s="74">
        <f>SUM(BF14:BF15)</f>
        <v>1.7999999999999998</v>
      </c>
      <c r="BG16" s="75" t="s">
        <v>31</v>
      </c>
      <c r="BH16" s="300">
        <f>SUM(BH14:BH15)</f>
        <v>1.5</v>
      </c>
      <c r="BI16" s="76">
        <f>BH16/($F22*$G15)</f>
        <v>1.7088174982911826E-2</v>
      </c>
    </row>
    <row r="17" spans="1:61" ht="17.25" customHeight="1">
      <c r="A17" s="291" t="s">
        <v>81</v>
      </c>
      <c r="B17" s="535" t="s">
        <v>34</v>
      </c>
      <c r="C17" s="461"/>
      <c r="D17" s="462"/>
      <c r="E17" s="536">
        <f>(I15+O15+U15+AA15+AG15+AM15+AS15+AY15+BE15+AS20+AY20+BE20+I20)/2</f>
        <v>0.47500000000000009</v>
      </c>
      <c r="F17" s="464"/>
      <c r="G17" s="459"/>
      <c r="H17" s="537">
        <f>VLOOKUP(H13,Plancha2!A:M,2,FALSE())</f>
        <v>0</v>
      </c>
      <c r="I17" s="474"/>
      <c r="J17" s="474"/>
      <c r="K17" s="306"/>
      <c r="L17" s="529">
        <f>J16</f>
        <v>3.9</v>
      </c>
      <c r="M17" s="475"/>
      <c r="N17" s="304" t="str">
        <f>VLOOKUP(N13,Friteuse!A:M,2,FALSE())</f>
        <v>Oeuf</v>
      </c>
      <c r="O17" s="305"/>
      <c r="P17" s="305"/>
      <c r="Q17" s="77"/>
      <c r="R17" s="529">
        <f>VLOOKUP(N13,Friteuse!A:M,3,FALSE())*P16</f>
        <v>0.24</v>
      </c>
      <c r="S17" s="475"/>
      <c r="T17" s="302" t="str">
        <f>VLOOKUP(T13,Wok!A:M,2,FALSE())</f>
        <v>Aiguillettes</v>
      </c>
      <c r="U17" s="303"/>
      <c r="V17" s="303"/>
      <c r="W17" s="77"/>
      <c r="X17" s="529">
        <f>VLOOKUP(T13,Wok!A:M,3,FALSE())*V16</f>
        <v>2.5350000000000001</v>
      </c>
      <c r="Y17" s="475"/>
      <c r="Z17" s="302" t="str">
        <f>VLOOKUP(Z13,Poele!A:M,2,FALSE())</f>
        <v>Lieu</v>
      </c>
      <c r="AA17" s="303"/>
      <c r="AB17" s="303"/>
      <c r="AC17" s="77"/>
      <c r="AD17" s="529">
        <f>VLOOKUP(Z13,Poele!A:M,3,FALSE())*AB16</f>
        <v>1.9709999999999999</v>
      </c>
      <c r="AE17" s="475"/>
      <c r="AF17" s="302" t="str">
        <f>VLOOKUP(AF13,Four!A:M,2,FALSE())</f>
        <v>Dinde sauté</v>
      </c>
      <c r="AG17" s="303"/>
      <c r="AH17" s="303"/>
      <c r="AI17" s="77"/>
      <c r="AJ17" s="529">
        <f>VLOOKUP(AF13,Four!A:M,3,FALSE())*AH16</f>
        <v>6.03</v>
      </c>
      <c r="AK17" s="475"/>
      <c r="AL17" s="302" t="str">
        <f>VLOOKUP(AL13,Four!A:M,2,FALSE())</f>
        <v>Aubergine</v>
      </c>
      <c r="AM17" s="303"/>
      <c r="AN17" s="303"/>
      <c r="AO17" s="77"/>
      <c r="AP17" s="529">
        <f>VLOOKUP(AL13,Four!A:M,3,FALSE())*AN16</f>
        <v>2.9249999999999998</v>
      </c>
      <c r="AQ17" s="475"/>
      <c r="AR17" s="538" t="s">
        <v>42</v>
      </c>
      <c r="AS17" s="461"/>
      <c r="AT17" s="461"/>
      <c r="AU17" s="306"/>
      <c r="AV17" s="529">
        <f>AT16</f>
        <v>7.5</v>
      </c>
      <c r="AW17" s="475"/>
      <c r="AX17" s="528" t="s">
        <v>156</v>
      </c>
      <c r="AY17" s="471"/>
      <c r="AZ17" s="471"/>
      <c r="BA17" s="78"/>
      <c r="BB17" s="529">
        <f>AZ16</f>
        <v>36</v>
      </c>
      <c r="BC17" s="475"/>
      <c r="BD17" s="528" t="s">
        <v>157</v>
      </c>
      <c r="BE17" s="471"/>
      <c r="BF17" s="471"/>
      <c r="BG17" s="78"/>
      <c r="BH17" s="529">
        <f>BF16</f>
        <v>1.7999999999999998</v>
      </c>
      <c r="BI17" s="503"/>
    </row>
    <row r="18" spans="1:61" ht="17.25" customHeight="1">
      <c r="A18" s="291" t="s">
        <v>45</v>
      </c>
      <c r="B18" s="539" t="s">
        <v>46</v>
      </c>
      <c r="C18" s="445"/>
      <c r="D18" s="517"/>
      <c r="E18" s="540">
        <f>(L16+R16+X16+AD16+AJ16+AP16+AV16+BB16+BH16+BH21+(BB21*BB18/1000)+L21+AV21)/(G15*F22)</f>
        <v>1</v>
      </c>
      <c r="F18" s="474"/>
      <c r="G18" s="475"/>
      <c r="H18" s="521" t="s">
        <v>160</v>
      </c>
      <c r="I18" s="431"/>
      <c r="J18" s="431"/>
      <c r="K18" s="431"/>
      <c r="L18" s="431"/>
      <c r="M18" s="432"/>
      <c r="N18" s="304" t="str">
        <f>VLOOKUP(N13,Friteuse!A:M,4,FALSE())</f>
        <v>Carotte</v>
      </c>
      <c r="O18" s="79"/>
      <c r="P18" s="79"/>
      <c r="Q18" s="79"/>
      <c r="R18" s="530">
        <f>VLOOKUP(N13,Friteuse!A:M,5,FALSE())*P16</f>
        <v>0.54</v>
      </c>
      <c r="S18" s="475"/>
      <c r="T18" s="302" t="str">
        <f>VLOOKUP(T13,Wok!A:M,4,FALSE())</f>
        <v>Gingembre</v>
      </c>
      <c r="U18" s="77"/>
      <c r="V18" s="77"/>
      <c r="W18" s="77"/>
      <c r="X18" s="530">
        <f>VLOOKUP(T13,Wok!A:M,5,FALSE())*V16</f>
        <v>9.7500000000000003E-2</v>
      </c>
      <c r="Y18" s="475"/>
      <c r="Z18" s="302" t="str">
        <f>VLOOKUP(Z13,Poele!A:M,4,FALSE())</f>
        <v>Oignon</v>
      </c>
      <c r="AA18" s="77"/>
      <c r="AB18" s="77"/>
      <c r="AC18" s="77"/>
      <c r="AD18" s="530">
        <f>VLOOKUP(Z13,Poele!A:M,5,FALSE())*AB16</f>
        <v>0.26999999999999996</v>
      </c>
      <c r="AE18" s="475"/>
      <c r="AF18" s="302" t="str">
        <f>VLOOKUP(AF13,Four!A:M,4,FALSE())</f>
        <v>Carottes</v>
      </c>
      <c r="AG18" s="77"/>
      <c r="AH18" s="77"/>
      <c r="AI18" s="77"/>
      <c r="AJ18" s="530">
        <f>VLOOKUP(AF13,Four!A:M,5,FALSE())*AH16</f>
        <v>0.54</v>
      </c>
      <c r="AK18" s="475"/>
      <c r="AL18" s="302" t="str">
        <f>VLOOKUP(AL13,Four!A:M,4,FALSE())</f>
        <v>Huile olive</v>
      </c>
      <c r="AM18" s="77"/>
      <c r="AN18" s="77"/>
      <c r="AO18" s="77"/>
      <c r="AP18" s="530">
        <f>VLOOKUP(AL13,Four!A:M,5,FALSE())*AN16</f>
        <v>0.42899999999999999</v>
      </c>
      <c r="AQ18" s="475"/>
      <c r="AR18" s="481" t="s">
        <v>54</v>
      </c>
      <c r="AS18" s="431"/>
      <c r="AT18" s="431"/>
      <c r="AU18" s="431"/>
      <c r="AV18" s="431"/>
      <c r="AW18" s="432"/>
      <c r="AX18" s="481" t="s">
        <v>55</v>
      </c>
      <c r="AY18" s="431"/>
      <c r="AZ18" s="431"/>
      <c r="BA18" s="431"/>
      <c r="BB18" s="531">
        <v>60</v>
      </c>
      <c r="BC18" s="432"/>
      <c r="BD18" s="483" t="s">
        <v>163</v>
      </c>
      <c r="BE18" s="431"/>
      <c r="BF18" s="431"/>
      <c r="BG18" s="431"/>
      <c r="BH18" s="431"/>
      <c r="BI18" s="484"/>
    </row>
    <row r="19" spans="1:61" ht="17.25" customHeight="1">
      <c r="A19" s="291" t="s">
        <v>56</v>
      </c>
      <c r="B19" s="513" t="s">
        <v>158</v>
      </c>
      <c r="C19" s="445"/>
      <c r="D19" s="445"/>
      <c r="E19" s="445"/>
      <c r="F19" s="541">
        <v>0.6</v>
      </c>
      <c r="G19" s="446"/>
      <c r="H19" s="276" t="s">
        <v>23</v>
      </c>
      <c r="I19" s="62">
        <v>7.0000000000000007E-2</v>
      </c>
      <c r="J19" s="63">
        <f>+I19*$C14*$F$9</f>
        <v>4.2</v>
      </c>
      <c r="K19" s="276" t="s">
        <v>24</v>
      </c>
      <c r="L19" s="64">
        <v>4</v>
      </c>
      <c r="M19" s="277">
        <f>L19/($F22*$C15)</f>
        <v>6.835269993164729E-2</v>
      </c>
      <c r="N19" s="304" t="str">
        <f>VLOOKUP(N13,Friteuse!A:M,6,FALSE())</f>
        <v>Farine</v>
      </c>
      <c r="O19" s="79"/>
      <c r="P19" s="79"/>
      <c r="Q19" s="79"/>
      <c r="R19" s="530">
        <f>VLOOKUP(N13,Friteuse!A:M,7,FALSE())*P16</f>
        <v>0.36</v>
      </c>
      <c r="S19" s="475"/>
      <c r="T19" s="302" t="str">
        <f>VLOOKUP(T13,Wok!A:M,6,FALSE())</f>
        <v>Miel</v>
      </c>
      <c r="U19" s="77"/>
      <c r="V19" s="77"/>
      <c r="W19" s="77"/>
      <c r="X19" s="530">
        <f>VLOOKUP(T13,Wok!A:M,7,FALSE())*V16</f>
        <v>0.39</v>
      </c>
      <c r="Y19" s="475"/>
      <c r="Z19" s="302" t="str">
        <f>VLOOKUP(Z13,Poele!A:M,6,FALSE())</f>
        <v>Poivron vert</v>
      </c>
      <c r="AA19" s="77"/>
      <c r="AB19" s="77"/>
      <c r="AC19" s="77"/>
      <c r="AD19" s="530">
        <f>VLOOKUP(Z13,Poele!A:M,7,FALSE())*AB16</f>
        <v>0.26999999999999996</v>
      </c>
      <c r="AE19" s="475"/>
      <c r="AF19" s="302" t="str">
        <f>VLOOKUP(AF13,Four!A:M,6,FALSE())</f>
        <v>Poireaux</v>
      </c>
      <c r="AG19" s="77"/>
      <c r="AH19" s="77"/>
      <c r="AI19" s="77"/>
      <c r="AJ19" s="530">
        <f>VLOOKUP(AF13,Four!A:M,7,FALSE())*AH16</f>
        <v>0.54</v>
      </c>
      <c r="AK19" s="475"/>
      <c r="AL19" s="302" t="str">
        <f>VLOOKUP(AL13,Four!A:M,6,FALSE())</f>
        <v>Sel</v>
      </c>
      <c r="AM19" s="77"/>
      <c r="AN19" s="77"/>
      <c r="AO19" s="77"/>
      <c r="AP19" s="530">
        <f>VLOOKUP(AL13,Four!A:M,7,FALSE())*AN16</f>
        <v>7.8E-2</v>
      </c>
      <c r="AQ19" s="475"/>
      <c r="AR19" s="276" t="s">
        <v>23</v>
      </c>
      <c r="AS19" s="62">
        <v>0.08</v>
      </c>
      <c r="AT19" s="63">
        <f>+AS19*$C14*$F$9</f>
        <v>4.8</v>
      </c>
      <c r="AU19" s="276" t="s">
        <v>24</v>
      </c>
      <c r="AV19" s="64">
        <v>4</v>
      </c>
      <c r="AW19" s="277">
        <f>AV19/($F22*$C15)</f>
        <v>6.835269993164729E-2</v>
      </c>
      <c r="AX19" s="307" t="s">
        <v>23</v>
      </c>
      <c r="AY19" s="62">
        <v>0.03</v>
      </c>
      <c r="AZ19" s="95">
        <f>AY19*C14*F19/(BB18/1000)</f>
        <v>29.999999999999996</v>
      </c>
      <c r="BA19" s="276" t="s">
        <v>24</v>
      </c>
      <c r="BB19" s="96">
        <v>25</v>
      </c>
      <c r="BC19" s="313">
        <f>(BB19*BB18/1000)/($F22*$C15)</f>
        <v>2.5632262474367735E-2</v>
      </c>
      <c r="BD19" s="276" t="s">
        <v>23</v>
      </c>
      <c r="BE19" s="62">
        <v>7.0000000000000007E-2</v>
      </c>
      <c r="BF19" s="63">
        <f>+BE19*$C14*$F$9</f>
        <v>4.2</v>
      </c>
      <c r="BG19" s="276" t="s">
        <v>24</v>
      </c>
      <c r="BH19" s="64">
        <v>4</v>
      </c>
      <c r="BI19" s="65">
        <f>BH19/($F22*$C15)</f>
        <v>6.835269993164729E-2</v>
      </c>
    </row>
    <row r="20" spans="1:61" ht="17.25" customHeight="1">
      <c r="A20" s="291"/>
      <c r="B20" s="544" t="s">
        <v>178</v>
      </c>
      <c r="C20" s="445"/>
      <c r="D20" s="445"/>
      <c r="E20" s="446"/>
      <c r="F20" s="319">
        <f>(L14+R14+L19+X14+AD14+AJ14+AP14+AV14+AV19+BB14+BB19*(BB18/1000)+BH14+BH19)/C15</f>
        <v>0.61</v>
      </c>
      <c r="G20" s="320">
        <f>F20/(F20+F21)</f>
        <v>0.5324720670391061</v>
      </c>
      <c r="H20" s="70" t="s">
        <v>27</v>
      </c>
      <c r="I20" s="286">
        <v>7.0000000000000007E-2</v>
      </c>
      <c r="J20" s="287">
        <f>+I20*$E14*$F19</f>
        <v>2.1</v>
      </c>
      <c r="K20" s="70" t="s">
        <v>28</v>
      </c>
      <c r="L20" s="288">
        <v>2</v>
      </c>
      <c r="M20" s="289">
        <f>L20/($F22*$E15)</f>
        <v>6.835269993164729E-2</v>
      </c>
      <c r="N20" s="304" t="str">
        <f>VLOOKUP(N13,Friteuse!A:M,8,FALSE())</f>
        <v>Lait</v>
      </c>
      <c r="O20" s="79"/>
      <c r="P20" s="79"/>
      <c r="Q20" s="79"/>
      <c r="R20" s="530">
        <f>VLOOKUP(N13,Friteuse!A:M,9,FALSE())*P16</f>
        <v>0.06</v>
      </c>
      <c r="S20" s="475"/>
      <c r="T20" s="302" t="str">
        <f>VLOOKUP(T13,Wok!A:M,8,FALSE())</f>
        <v>Lait coco</v>
      </c>
      <c r="U20" s="77"/>
      <c r="V20" s="77"/>
      <c r="W20" s="77"/>
      <c r="X20" s="530">
        <f>VLOOKUP(T13,Wok!A:M,9,FALSE())*V16</f>
        <v>0.39</v>
      </c>
      <c r="Y20" s="475"/>
      <c r="Z20" s="302" t="str">
        <f>VLOOKUP(Z13,Poele!A:M,8,FALSE())</f>
        <v>Vin blc</v>
      </c>
      <c r="AA20" s="77"/>
      <c r="AB20" s="77"/>
      <c r="AC20" s="77"/>
      <c r="AD20" s="530">
        <f>VLOOKUP(Z13,Poele!A:M,9,FALSE())*AB16</f>
        <v>0.189</v>
      </c>
      <c r="AE20" s="475"/>
      <c r="AF20" s="302" t="str">
        <f>VLOOKUP(AF13,Four!A:M,8,FALSE())</f>
        <v>Celeri</v>
      </c>
      <c r="AG20" s="77"/>
      <c r="AH20" s="77"/>
      <c r="AI20" s="77"/>
      <c r="AJ20" s="530">
        <f>VLOOKUP(AF13,Four!A:M,9,FALSE())*AH16</f>
        <v>0.54</v>
      </c>
      <c r="AK20" s="475"/>
      <c r="AL20" s="302" t="str">
        <f>VLOOKUP(AL13,Four!A:M,8,FALSE())</f>
        <v>Ail</v>
      </c>
      <c r="AM20" s="77"/>
      <c r="AN20" s="77"/>
      <c r="AO20" s="77"/>
      <c r="AP20" s="530">
        <f>VLOOKUP(AL13,Four!A:M,9,FALSE())*AN16</f>
        <v>7.8E-2</v>
      </c>
      <c r="AQ20" s="475"/>
      <c r="AR20" s="70" t="s">
        <v>27</v>
      </c>
      <c r="AS20" s="286">
        <v>0.09</v>
      </c>
      <c r="AT20" s="287">
        <f>+AS20*$E14*$F19</f>
        <v>2.6999999999999997</v>
      </c>
      <c r="AU20" s="70" t="s">
        <v>28</v>
      </c>
      <c r="AV20" s="288">
        <v>2</v>
      </c>
      <c r="AW20" s="289">
        <f>AV20/($F22*$E15)</f>
        <v>6.835269993164729E-2</v>
      </c>
      <c r="AX20" s="80" t="s">
        <v>27</v>
      </c>
      <c r="AY20" s="286">
        <v>0.03</v>
      </c>
      <c r="AZ20" s="321">
        <f>AY20*E14*F19/(BB18/1000)</f>
        <v>14.999999999999998</v>
      </c>
      <c r="BA20" s="70" t="s">
        <v>28</v>
      </c>
      <c r="BB20" s="322">
        <v>13</v>
      </c>
      <c r="BC20" s="315">
        <f>(BB20*BB18/1000)/($F22*$E15)</f>
        <v>2.6657552973342446E-2</v>
      </c>
      <c r="BD20" s="70" t="s">
        <v>27</v>
      </c>
      <c r="BE20" s="286">
        <v>7.0000000000000007E-2</v>
      </c>
      <c r="BF20" s="287">
        <f>+BE20*$E14*$F19</f>
        <v>2.1</v>
      </c>
      <c r="BG20" s="70" t="s">
        <v>28</v>
      </c>
      <c r="BH20" s="288">
        <v>2</v>
      </c>
      <c r="BI20" s="290">
        <f>BH20/($F22*$E15)</f>
        <v>6.835269993164729E-2</v>
      </c>
    </row>
    <row r="21" spans="1:61" ht="17.25" customHeight="1">
      <c r="A21" s="291"/>
      <c r="B21" s="447"/>
      <c r="C21" s="434"/>
      <c r="D21" s="434"/>
      <c r="E21" s="435"/>
      <c r="F21" s="323">
        <f>(L15+L20+R15+X15+AD15+AJ15+AP15+AV15+AV20+BB15+BB20*(BB18/1000)+BH20+BH15)/E15</f>
        <v>0.53560000000000008</v>
      </c>
      <c r="G21" s="324">
        <f>F21/(F20+F21)</f>
        <v>0.46752793296089395</v>
      </c>
      <c r="H21" s="298" t="s">
        <v>31</v>
      </c>
      <c r="I21" s="299">
        <f>+J21/$G14</f>
        <v>4.2000000000000003E-2</v>
      </c>
      <c r="J21" s="74">
        <f>SUM(J19:J20)</f>
        <v>6.3000000000000007</v>
      </c>
      <c r="K21" s="75" t="s">
        <v>31</v>
      </c>
      <c r="L21" s="300">
        <f>SUM(L19:L20)</f>
        <v>6</v>
      </c>
      <c r="M21" s="301">
        <f>L21/($F22*$G15)</f>
        <v>6.8352699931647304E-2</v>
      </c>
      <c r="N21" s="304" t="str">
        <f>VLOOKUP(N13,Friteuse!A:M,10,FALSE())</f>
        <v>Levure</v>
      </c>
      <c r="O21" s="78"/>
      <c r="P21" s="78"/>
      <c r="Q21" s="78"/>
      <c r="R21" s="530">
        <f>VLOOKUP(N13,Friteuse!A:M,11,FALSE())*P16</f>
        <v>1.1999999999999999E-3</v>
      </c>
      <c r="S21" s="475"/>
      <c r="T21" s="302" t="str">
        <f>VLOOKUP(T13,Wok!A:M,10,FALSE())</f>
        <v>Crème</v>
      </c>
      <c r="U21" s="81"/>
      <c r="V21" s="81"/>
      <c r="W21" s="81"/>
      <c r="X21" s="530">
        <f>VLOOKUP(T13,Wok!A:M,11,FALSE())*V16</f>
        <v>0.19500000000000001</v>
      </c>
      <c r="Y21" s="475"/>
      <c r="Z21" s="302" t="str">
        <f>VLOOKUP(Z13,Poele!A:M,10,FALSE())</f>
        <v>Sce napo</v>
      </c>
      <c r="AA21" s="81"/>
      <c r="AB21" s="81"/>
      <c r="AC21" s="81"/>
      <c r="AD21" s="530">
        <f>VLOOKUP(Z13,Poele!A:M,11,FALSE())*AB16</f>
        <v>0</v>
      </c>
      <c r="AE21" s="475"/>
      <c r="AF21" s="302" t="str">
        <f>VLOOKUP(AF13,Four!A:M,10,FALSE())</f>
        <v>Champignons</v>
      </c>
      <c r="AG21" s="81"/>
      <c r="AH21" s="81"/>
      <c r="AI21" s="81"/>
      <c r="AJ21" s="530">
        <f>VLOOKUP(AF13,Four!A:M,11,FALSE())*AH16</f>
        <v>0.80999999999999994</v>
      </c>
      <c r="AK21" s="475"/>
      <c r="AL21" s="302" t="str">
        <f>VLOOKUP(AL13,Four!A:M,10,FALSE())</f>
        <v>Persil</v>
      </c>
      <c r="AM21" s="81"/>
      <c r="AN21" s="81"/>
      <c r="AO21" s="81"/>
      <c r="AP21" s="530">
        <f>VLOOKUP(AL13,Four!A:M,11,FALSE())*AN16</f>
        <v>7.8E-2</v>
      </c>
      <c r="AQ21" s="475"/>
      <c r="AR21" s="298" t="s">
        <v>31</v>
      </c>
      <c r="AS21" s="299">
        <f>+AT21/$G14</f>
        <v>0.05</v>
      </c>
      <c r="AT21" s="74">
        <f>SUM(AT19:AT20)</f>
        <v>7.5</v>
      </c>
      <c r="AU21" s="75" t="s">
        <v>31</v>
      </c>
      <c r="AV21" s="300">
        <f>SUM(AV19:AV20)</f>
        <v>6</v>
      </c>
      <c r="AW21" s="301">
        <f>AV21/($F22*$G15)</f>
        <v>6.8352699931647304E-2</v>
      </c>
      <c r="AX21" s="308" t="s">
        <v>31</v>
      </c>
      <c r="AY21" s="299"/>
      <c r="AZ21" s="97">
        <f>SUM(AZ19:AZ20)</f>
        <v>44.999999999999993</v>
      </c>
      <c r="BA21" s="75" t="s">
        <v>31</v>
      </c>
      <c r="BB21" s="325">
        <f>SUM(BB19:BB20)</f>
        <v>38</v>
      </c>
      <c r="BC21" s="295">
        <f>(BB21*BB18/1000)/($F22*$G15)</f>
        <v>2.5974025974025972E-2</v>
      </c>
      <c r="BD21" s="298" t="s">
        <v>31</v>
      </c>
      <c r="BE21" s="299">
        <f>+BF21/$G14</f>
        <v>4.2000000000000003E-2</v>
      </c>
      <c r="BF21" s="74">
        <f>SUM(BF19:BF20)</f>
        <v>6.3000000000000007</v>
      </c>
      <c r="BG21" s="75" t="s">
        <v>31</v>
      </c>
      <c r="BH21" s="300">
        <f>SUM(BH19:BH20)</f>
        <v>6</v>
      </c>
      <c r="BI21" s="76">
        <f>BH21/($F22*$G15)</f>
        <v>6.8352699931647304E-2</v>
      </c>
    </row>
    <row r="22" spans="1:61" ht="17.25" customHeight="1">
      <c r="A22" s="291"/>
      <c r="B22" s="545" t="s">
        <v>159</v>
      </c>
      <c r="C22" s="431"/>
      <c r="D22" s="431"/>
      <c r="E22" s="432"/>
      <c r="F22" s="546">
        <f>(L16+L21+R16+X16+AD16+AJ16+AP16+AV16+AV21+BB21*BB18/1000+BB16+BH16+BH21)/G15</f>
        <v>0.58520000000000005</v>
      </c>
      <c r="G22" s="435"/>
      <c r="H22" s="302" t="str">
        <f>VLOOKUP(H18,Plancha2!A:M,2,FALSE())</f>
        <v>Lamelle encornet</v>
      </c>
      <c r="I22" s="82"/>
      <c r="J22" s="78"/>
      <c r="K22" s="78"/>
      <c r="L22" s="529">
        <f>J21</f>
        <v>6.3000000000000007</v>
      </c>
      <c r="M22" s="475"/>
      <c r="N22" s="304" t="str">
        <f>VLOOKUP(N13,Friteuse!A:M,12,FALSE())</f>
        <v>Curry gold</v>
      </c>
      <c r="O22" s="306"/>
      <c r="P22" s="306"/>
      <c r="Q22" s="306"/>
      <c r="R22" s="542">
        <f>VLOOKUP(N13,Friteuse!A:M,13,FALSE())*P16</f>
        <v>1.1999999999999999E-3</v>
      </c>
      <c r="S22" s="435"/>
      <c r="T22" s="302" t="str">
        <f>VLOOKUP(T13,Wok!A:M,12,FALSE())</f>
        <v>Bouillon volaille</v>
      </c>
      <c r="U22" s="309"/>
      <c r="V22" s="309"/>
      <c r="W22" s="309"/>
      <c r="X22" s="542">
        <f>VLOOKUP(T13,Wok!A:M,13,FALSE())*V16</f>
        <v>9.7500000000000003E-2</v>
      </c>
      <c r="Y22" s="435"/>
      <c r="Z22" s="302" t="str">
        <f>VLOOKUP(Z13,Poele!A:M,12,FALSE())</f>
        <v>Basilic</v>
      </c>
      <c r="AA22" s="309"/>
      <c r="AB22" s="309"/>
      <c r="AC22" s="309"/>
      <c r="AD22" s="542">
        <f>VLOOKUP(Z13,Poele!A:M,13,FALSE())*AB16</f>
        <v>0</v>
      </c>
      <c r="AE22" s="435"/>
      <c r="AF22" s="302" t="str">
        <f>VLOOKUP(AF13,Four!A:M,12,FALSE())</f>
        <v>Oignons</v>
      </c>
      <c r="AG22" s="309"/>
      <c r="AH22" s="309"/>
      <c r="AI22" s="309"/>
      <c r="AJ22" s="542">
        <f>VLOOKUP(AF13,Four!A:M,13,FALSE())*AH16</f>
        <v>0.54</v>
      </c>
      <c r="AK22" s="435"/>
      <c r="AL22" s="302" t="str">
        <f>VLOOKUP(AL13,Four!A:M,12,FALSE())</f>
        <v>Parmesan</v>
      </c>
      <c r="AM22" s="309"/>
      <c r="AN22" s="309"/>
      <c r="AO22" s="309"/>
      <c r="AP22" s="542">
        <f>VLOOKUP(AL13,Four!A:M,13,FALSE())*AN16</f>
        <v>0.312</v>
      </c>
      <c r="AQ22" s="435"/>
      <c r="AR22" s="310" t="s">
        <v>74</v>
      </c>
      <c r="AS22" s="82"/>
      <c r="AT22" s="78"/>
      <c r="AU22" s="78"/>
      <c r="AV22" s="529">
        <f>AT21</f>
        <v>7.5</v>
      </c>
      <c r="AW22" s="475"/>
      <c r="AX22" s="538" t="s">
        <v>75</v>
      </c>
      <c r="AY22" s="461"/>
      <c r="AZ22" s="461"/>
      <c r="BA22" s="311"/>
      <c r="BB22" s="529">
        <f>AZ21*(BB18/1000)</f>
        <v>2.6999999999999993</v>
      </c>
      <c r="BC22" s="475"/>
      <c r="BD22" s="543" t="s">
        <v>115</v>
      </c>
      <c r="BE22" s="461"/>
      <c r="BF22" s="461"/>
      <c r="BG22" s="311"/>
      <c r="BH22" s="529">
        <f>BF21</f>
        <v>6.3000000000000007</v>
      </c>
      <c r="BI22" s="503"/>
    </row>
    <row r="23" spans="1:61" ht="17.25" customHeight="1">
      <c r="A23" s="55">
        <f>A13+1</f>
        <v>45314</v>
      </c>
      <c r="B23" s="547" t="s">
        <v>8</v>
      </c>
      <c r="C23" s="432"/>
      <c r="D23" s="547" t="s">
        <v>9</v>
      </c>
      <c r="E23" s="432"/>
      <c r="F23" s="317" t="s">
        <v>10</v>
      </c>
      <c r="G23" s="318"/>
      <c r="H23" s="521" t="s">
        <v>149</v>
      </c>
      <c r="I23" s="431"/>
      <c r="J23" s="431"/>
      <c r="K23" s="431"/>
      <c r="L23" s="431"/>
      <c r="M23" s="432"/>
      <c r="N23" s="522" t="s">
        <v>197</v>
      </c>
      <c r="O23" s="431"/>
      <c r="P23" s="431"/>
      <c r="Q23" s="431"/>
      <c r="R23" s="431"/>
      <c r="S23" s="432"/>
      <c r="T23" s="523" t="s">
        <v>255</v>
      </c>
      <c r="U23" s="431" t="s">
        <v>255</v>
      </c>
      <c r="V23" s="431" t="s">
        <v>255</v>
      </c>
      <c r="W23" s="431" t="s">
        <v>255</v>
      </c>
      <c r="X23" s="431" t="s">
        <v>255</v>
      </c>
      <c r="Y23" s="432" t="s">
        <v>255</v>
      </c>
      <c r="Z23" s="523" t="s">
        <v>280</v>
      </c>
      <c r="AA23" s="431" t="s">
        <v>280</v>
      </c>
      <c r="AB23" s="431" t="s">
        <v>280</v>
      </c>
      <c r="AC23" s="431" t="s">
        <v>280</v>
      </c>
      <c r="AD23" s="431" t="s">
        <v>280</v>
      </c>
      <c r="AE23" s="432" t="s">
        <v>280</v>
      </c>
      <c r="AF23" s="519" t="s">
        <v>277</v>
      </c>
      <c r="AG23" s="431"/>
      <c r="AH23" s="431"/>
      <c r="AI23" s="431"/>
      <c r="AJ23" s="431"/>
      <c r="AK23" s="432"/>
      <c r="AL23" s="519" t="s">
        <v>200</v>
      </c>
      <c r="AM23" s="431" t="s">
        <v>200</v>
      </c>
      <c r="AN23" s="431" t="s">
        <v>200</v>
      </c>
      <c r="AO23" s="431" t="s">
        <v>200</v>
      </c>
      <c r="AP23" s="431" t="s">
        <v>200</v>
      </c>
      <c r="AQ23" s="432" t="s">
        <v>200</v>
      </c>
      <c r="AR23" s="481" t="s">
        <v>18</v>
      </c>
      <c r="AS23" s="431"/>
      <c r="AT23" s="431"/>
      <c r="AU23" s="431"/>
      <c r="AV23" s="431"/>
      <c r="AW23" s="432"/>
      <c r="AX23" s="482" t="s">
        <v>154</v>
      </c>
      <c r="AY23" s="434"/>
      <c r="AZ23" s="434"/>
      <c r="BA23" s="434"/>
      <c r="BB23" s="434"/>
      <c r="BC23" s="435"/>
      <c r="BD23" s="483" t="s">
        <v>155</v>
      </c>
      <c r="BE23" s="431"/>
      <c r="BF23" s="431"/>
      <c r="BG23" s="431"/>
      <c r="BH23" s="431"/>
      <c r="BI23" s="484"/>
    </row>
    <row r="24" spans="1:61" ht="17.25" customHeight="1">
      <c r="A24" s="269"/>
      <c r="B24" s="270" t="s">
        <v>22</v>
      </c>
      <c r="C24" s="271">
        <v>100</v>
      </c>
      <c r="D24" s="270" t="s">
        <v>22</v>
      </c>
      <c r="E24" s="272">
        <v>50</v>
      </c>
      <c r="F24" s="270" t="s">
        <v>22</v>
      </c>
      <c r="G24" s="56">
        <f t="shared" ref="G24:G25" si="2">+C24+E24</f>
        <v>150</v>
      </c>
      <c r="H24" s="276" t="s">
        <v>23</v>
      </c>
      <c r="I24" s="62">
        <v>0.05</v>
      </c>
      <c r="J24" s="63">
        <f>+I24*$C24*$F29</f>
        <v>3</v>
      </c>
      <c r="K24" s="276" t="s">
        <v>24</v>
      </c>
      <c r="L24" s="64">
        <v>3</v>
      </c>
      <c r="M24" s="277">
        <f>L24/($F32*$C25)</f>
        <v>5.1264524948735471E-2</v>
      </c>
      <c r="N24" s="273" t="s">
        <v>23</v>
      </c>
      <c r="O24" s="57">
        <v>0.01</v>
      </c>
      <c r="P24" s="58">
        <f>+O24*$C24*$F29</f>
        <v>0.6</v>
      </c>
      <c r="Q24" s="273" t="s">
        <v>24</v>
      </c>
      <c r="R24" s="84">
        <v>0.5</v>
      </c>
      <c r="S24" s="313">
        <f>R24/($F32*$C25)</f>
        <v>8.5440874914559112E-3</v>
      </c>
      <c r="T24" s="274" t="s">
        <v>23</v>
      </c>
      <c r="U24" s="60">
        <v>0.05</v>
      </c>
      <c r="V24" s="61">
        <f>+U24*$C24*$F29</f>
        <v>3</v>
      </c>
      <c r="W24" s="274" t="s">
        <v>24</v>
      </c>
      <c r="X24" s="59">
        <v>3</v>
      </c>
      <c r="Y24" s="275">
        <f>X24/($F32*$C25)</f>
        <v>5.1264524948735471E-2</v>
      </c>
      <c r="Z24" s="274" t="s">
        <v>23</v>
      </c>
      <c r="AA24" s="60">
        <v>0.03</v>
      </c>
      <c r="AB24" s="61">
        <f>+AA24*$C24*$F29</f>
        <v>1.7999999999999998</v>
      </c>
      <c r="AC24" s="274" t="s">
        <v>24</v>
      </c>
      <c r="AD24" s="59">
        <v>2</v>
      </c>
      <c r="AE24" s="275">
        <f>AD24/($F32*$C25)</f>
        <v>3.4176349965823645E-2</v>
      </c>
      <c r="AF24" s="274" t="s">
        <v>23</v>
      </c>
      <c r="AG24" s="60">
        <v>0.1</v>
      </c>
      <c r="AH24" s="61">
        <f>+AG24*$C24*$F29</f>
        <v>6</v>
      </c>
      <c r="AI24" s="274" t="s">
        <v>24</v>
      </c>
      <c r="AJ24" s="59">
        <v>6</v>
      </c>
      <c r="AK24" s="275">
        <f>AJ24/($F32*$C25)</f>
        <v>0.10252904989747094</v>
      </c>
      <c r="AL24" s="274" t="s">
        <v>23</v>
      </c>
      <c r="AM24" s="60">
        <v>0.05</v>
      </c>
      <c r="AN24" s="61">
        <f>+AM24*$C24*$F29</f>
        <v>3</v>
      </c>
      <c r="AO24" s="274" t="s">
        <v>24</v>
      </c>
      <c r="AP24" s="59">
        <v>3</v>
      </c>
      <c r="AQ24" s="275">
        <f>AP24/($F32*$C25)</f>
        <v>5.1264524948735471E-2</v>
      </c>
      <c r="AR24" s="276" t="s">
        <v>23</v>
      </c>
      <c r="AS24" s="62">
        <v>0.08</v>
      </c>
      <c r="AT24" s="63">
        <f>+AS24*$C24*$F29</f>
        <v>4.8</v>
      </c>
      <c r="AU24" s="276" t="s">
        <v>24</v>
      </c>
      <c r="AV24" s="64">
        <v>4</v>
      </c>
      <c r="AW24" s="277">
        <f>AV24/($F32*$C25)</f>
        <v>6.835269993164729E-2</v>
      </c>
      <c r="AX24" s="276" t="s">
        <v>23</v>
      </c>
      <c r="AY24" s="62">
        <v>0.43</v>
      </c>
      <c r="AZ24" s="63">
        <f>+AY24*$C24*$F29</f>
        <v>25.8</v>
      </c>
      <c r="BA24" s="276" t="s">
        <v>24</v>
      </c>
      <c r="BB24" s="64">
        <v>25</v>
      </c>
      <c r="BC24" s="277">
        <f>BB24/($F32*$C25)</f>
        <v>0.42720437457279559</v>
      </c>
      <c r="BD24" s="276" t="s">
        <v>23</v>
      </c>
      <c r="BE24" s="62">
        <v>0.02</v>
      </c>
      <c r="BF24" s="63">
        <f>+BE24*$C24*$F29</f>
        <v>1.2</v>
      </c>
      <c r="BG24" s="276" t="s">
        <v>24</v>
      </c>
      <c r="BH24" s="64">
        <v>1</v>
      </c>
      <c r="BI24" s="65">
        <f>BH24/($F32*$C25)</f>
        <v>1.7088174982911822E-2</v>
      </c>
    </row>
    <row r="25" spans="1:61" ht="17.25" customHeight="1">
      <c r="A25" s="278" t="s">
        <v>79</v>
      </c>
      <c r="B25" s="266" t="s">
        <v>26</v>
      </c>
      <c r="C25" s="66">
        <v>100</v>
      </c>
      <c r="D25" s="266" t="s">
        <v>26</v>
      </c>
      <c r="E25" s="67">
        <v>50</v>
      </c>
      <c r="F25" s="266" t="s">
        <v>26</v>
      </c>
      <c r="G25" s="279">
        <f t="shared" si="2"/>
        <v>150</v>
      </c>
      <c r="H25" s="70" t="s">
        <v>27</v>
      </c>
      <c r="I25" s="286">
        <v>0.03</v>
      </c>
      <c r="J25" s="287">
        <f>+I25*$E24*$F29</f>
        <v>0.89999999999999991</v>
      </c>
      <c r="K25" s="70" t="s">
        <v>28</v>
      </c>
      <c r="L25" s="288">
        <v>1</v>
      </c>
      <c r="M25" s="289">
        <f>L25/($F32*$E25)</f>
        <v>3.4176349965823645E-2</v>
      </c>
      <c r="N25" s="68" t="s">
        <v>27</v>
      </c>
      <c r="O25" s="280">
        <v>0.02</v>
      </c>
      <c r="P25" s="281">
        <f>+O25*$E24*$F29</f>
        <v>0.6</v>
      </c>
      <c r="Q25" s="68" t="s">
        <v>28</v>
      </c>
      <c r="R25" s="314">
        <v>0.5</v>
      </c>
      <c r="S25" s="315">
        <f>R25/($F32*$E25)</f>
        <v>1.7088174982911822E-2</v>
      </c>
      <c r="T25" s="69" t="s">
        <v>27</v>
      </c>
      <c r="U25" s="284">
        <v>0.03</v>
      </c>
      <c r="V25" s="285">
        <f>+U25*$E24*$F29</f>
        <v>0.89999999999999991</v>
      </c>
      <c r="W25" s="69" t="s">
        <v>28</v>
      </c>
      <c r="X25" s="282">
        <v>1</v>
      </c>
      <c r="Y25" s="283">
        <f>X25/($F32*$E25)</f>
        <v>3.4176349965823645E-2</v>
      </c>
      <c r="Z25" s="69" t="s">
        <v>27</v>
      </c>
      <c r="AA25" s="284">
        <v>0.03</v>
      </c>
      <c r="AB25" s="285">
        <f>+AA25*$E24*$F29</f>
        <v>0.89999999999999991</v>
      </c>
      <c r="AC25" s="69" t="s">
        <v>28</v>
      </c>
      <c r="AD25" s="282">
        <v>1</v>
      </c>
      <c r="AE25" s="283">
        <f>AD25/($F32*$E25)</f>
        <v>3.4176349965823645E-2</v>
      </c>
      <c r="AF25" s="69" t="s">
        <v>27</v>
      </c>
      <c r="AG25" s="284">
        <v>0.1</v>
      </c>
      <c r="AH25" s="285">
        <f>+AG25*$E24*$F29</f>
        <v>3</v>
      </c>
      <c r="AI25" s="69" t="s">
        <v>28</v>
      </c>
      <c r="AJ25" s="282">
        <v>3</v>
      </c>
      <c r="AK25" s="283">
        <f>AJ25/($F32*$E25)</f>
        <v>0.10252904989747094</v>
      </c>
      <c r="AL25" s="69" t="s">
        <v>27</v>
      </c>
      <c r="AM25" s="284">
        <v>0.03</v>
      </c>
      <c r="AN25" s="285">
        <f>+AM25*$E24*$F29</f>
        <v>0.89999999999999991</v>
      </c>
      <c r="AO25" s="69" t="s">
        <v>28</v>
      </c>
      <c r="AP25" s="282">
        <v>1</v>
      </c>
      <c r="AQ25" s="283">
        <f>AP25/($F32*$E25)</f>
        <v>3.4176349965823645E-2</v>
      </c>
      <c r="AR25" s="70" t="s">
        <v>27</v>
      </c>
      <c r="AS25" s="286">
        <v>0.09</v>
      </c>
      <c r="AT25" s="287">
        <f>+AS25*$E24*$F29</f>
        <v>2.6999999999999997</v>
      </c>
      <c r="AU25" s="70" t="s">
        <v>28</v>
      </c>
      <c r="AV25" s="288">
        <v>2</v>
      </c>
      <c r="AW25" s="289">
        <f>AV25/($F32*$E25)</f>
        <v>6.835269993164729E-2</v>
      </c>
      <c r="AX25" s="70" t="s">
        <v>27</v>
      </c>
      <c r="AY25" s="286">
        <v>0.34</v>
      </c>
      <c r="AZ25" s="287">
        <f>+AY25*$E24*$F29</f>
        <v>10.199999999999999</v>
      </c>
      <c r="BA25" s="70" t="s">
        <v>28</v>
      </c>
      <c r="BB25" s="288">
        <v>10</v>
      </c>
      <c r="BC25" s="289">
        <f>BB25/($F32*$E25)</f>
        <v>0.34176349965823649</v>
      </c>
      <c r="BD25" s="70" t="s">
        <v>27</v>
      </c>
      <c r="BE25" s="286">
        <v>0.02</v>
      </c>
      <c r="BF25" s="287">
        <f>+BE25*$E24*$F29</f>
        <v>0.6</v>
      </c>
      <c r="BG25" s="70" t="s">
        <v>28</v>
      </c>
      <c r="BH25" s="288">
        <v>0.5</v>
      </c>
      <c r="BI25" s="290">
        <f>BH25/($F32*$E25)</f>
        <v>1.7088174982911822E-2</v>
      </c>
    </row>
    <row r="26" spans="1:61" ht="17.25" customHeight="1">
      <c r="A26" s="291" t="s">
        <v>94</v>
      </c>
      <c r="B26" s="532" t="s">
        <v>30</v>
      </c>
      <c r="C26" s="454"/>
      <c r="D26" s="455"/>
      <c r="E26" s="533">
        <f>(I24+O24+U24+AA24+AG24+AM24+AS24+AY24+BE24+BE29+AY29+AS29+I29)/2</f>
        <v>0.53500000000000014</v>
      </c>
      <c r="F26" s="457"/>
      <c r="G26" s="534">
        <f>(E26+E27)</f>
        <v>1.0100000000000002</v>
      </c>
      <c r="H26" s="298" t="s">
        <v>31</v>
      </c>
      <c r="I26" s="299">
        <f>+J26/$G24</f>
        <v>2.5999999999999999E-2</v>
      </c>
      <c r="J26" s="74">
        <f>SUM(J24:J25)</f>
        <v>3.9</v>
      </c>
      <c r="K26" s="75" t="s">
        <v>31</v>
      </c>
      <c r="L26" s="300">
        <f>SUM(L24:L25)</f>
        <v>4</v>
      </c>
      <c r="M26" s="301">
        <f>L26/($F32*$G25)</f>
        <v>4.5568466621098203E-2</v>
      </c>
      <c r="N26" s="292" t="s">
        <v>31</v>
      </c>
      <c r="O26" s="293">
        <f>+P26/$G24</f>
        <v>8.0000000000000002E-3</v>
      </c>
      <c r="P26" s="71">
        <f>SUM(P24:P25)</f>
        <v>1.2</v>
      </c>
      <c r="Q26" s="85" t="s">
        <v>31</v>
      </c>
      <c r="R26" s="316">
        <f>SUM(R24:R25)</f>
        <v>1</v>
      </c>
      <c r="S26" s="295">
        <f>R26/($F32*$G25)</f>
        <v>1.1392116655274551E-2</v>
      </c>
      <c r="T26" s="296" t="s">
        <v>31</v>
      </c>
      <c r="U26" s="297">
        <f>+V26/$G24</f>
        <v>2.5999999999999999E-2</v>
      </c>
      <c r="V26" s="73">
        <f>SUM(V24:V25)</f>
        <v>3.9</v>
      </c>
      <c r="W26" s="72" t="s">
        <v>31</v>
      </c>
      <c r="X26" s="294">
        <f>SUM(X24:X25)</f>
        <v>4</v>
      </c>
      <c r="Y26" s="295">
        <f>X26/($F32*$G25)</f>
        <v>4.5568466621098203E-2</v>
      </c>
      <c r="Z26" s="296" t="s">
        <v>31</v>
      </c>
      <c r="AA26" s="297">
        <f>+AB26/$G24</f>
        <v>1.7999999999999999E-2</v>
      </c>
      <c r="AB26" s="73">
        <f>SUM(AB24:AB25)</f>
        <v>2.6999999999999997</v>
      </c>
      <c r="AC26" s="72" t="s">
        <v>31</v>
      </c>
      <c r="AD26" s="294">
        <f>SUM(AD24:AD25)</f>
        <v>3</v>
      </c>
      <c r="AE26" s="295">
        <f>AD26/($F32*$G25)</f>
        <v>3.4176349965823652E-2</v>
      </c>
      <c r="AF26" s="296" t="s">
        <v>31</v>
      </c>
      <c r="AG26" s="297">
        <f>+AH26/$G24</f>
        <v>0.06</v>
      </c>
      <c r="AH26" s="73">
        <f>SUM(AH24:AH25)</f>
        <v>9</v>
      </c>
      <c r="AI26" s="72" t="s">
        <v>31</v>
      </c>
      <c r="AJ26" s="294">
        <f>SUM(AJ24:AJ25)</f>
        <v>9</v>
      </c>
      <c r="AK26" s="295">
        <f>AJ26/($F32*$G25)</f>
        <v>0.10252904989747094</v>
      </c>
      <c r="AL26" s="296" t="s">
        <v>31</v>
      </c>
      <c r="AM26" s="297">
        <f>+AN26/$G24</f>
        <v>2.5999999999999999E-2</v>
      </c>
      <c r="AN26" s="73">
        <f>SUM(AN24:AN25)</f>
        <v>3.9</v>
      </c>
      <c r="AO26" s="72" t="s">
        <v>31</v>
      </c>
      <c r="AP26" s="294">
        <f>SUM(AP24:AP25)</f>
        <v>4</v>
      </c>
      <c r="AQ26" s="295">
        <f>AP26/($F32*$G25)</f>
        <v>4.5568466621098203E-2</v>
      </c>
      <c r="AR26" s="298" t="s">
        <v>31</v>
      </c>
      <c r="AS26" s="299">
        <f>+AT26/$G24</f>
        <v>0.05</v>
      </c>
      <c r="AT26" s="74">
        <f>SUM(AT24:AT25)</f>
        <v>7.5</v>
      </c>
      <c r="AU26" s="75" t="s">
        <v>31</v>
      </c>
      <c r="AV26" s="300">
        <f>SUM(AV24:AV25)</f>
        <v>6</v>
      </c>
      <c r="AW26" s="301">
        <f>AV26/($F32*$G25)</f>
        <v>6.8352699931647304E-2</v>
      </c>
      <c r="AX26" s="298" t="s">
        <v>31</v>
      </c>
      <c r="AY26" s="299">
        <f>+AZ26/$G24</f>
        <v>0.24</v>
      </c>
      <c r="AZ26" s="74">
        <f>SUM(AZ24:AZ25)</f>
        <v>36</v>
      </c>
      <c r="BA26" s="75" t="s">
        <v>31</v>
      </c>
      <c r="BB26" s="300">
        <f>SUM(BB24:BB25)</f>
        <v>35</v>
      </c>
      <c r="BC26" s="301">
        <f>BB26/($F32*$G25)</f>
        <v>0.39872408293460926</v>
      </c>
      <c r="BD26" s="298" t="s">
        <v>31</v>
      </c>
      <c r="BE26" s="299">
        <f>+BF26/$G24</f>
        <v>1.1999999999999999E-2</v>
      </c>
      <c r="BF26" s="74">
        <f>SUM(BF24:BF25)</f>
        <v>1.7999999999999998</v>
      </c>
      <c r="BG26" s="75" t="s">
        <v>31</v>
      </c>
      <c r="BH26" s="300">
        <f>SUM(BH24:BH25)</f>
        <v>1.5</v>
      </c>
      <c r="BI26" s="76">
        <f>BH26/($F32*$G25)</f>
        <v>1.7088174982911826E-2</v>
      </c>
    </row>
    <row r="27" spans="1:61" ht="17.25" customHeight="1">
      <c r="A27" s="291" t="s">
        <v>81</v>
      </c>
      <c r="B27" s="535" t="s">
        <v>34</v>
      </c>
      <c r="C27" s="461"/>
      <c r="D27" s="462"/>
      <c r="E27" s="536">
        <f>(I25+O25+U25+AA25+AG25+AM25+AS25+AY25+BE25+AS30+AY30+BE30+I30)/2</f>
        <v>0.47500000000000009</v>
      </c>
      <c r="F27" s="464"/>
      <c r="G27" s="459"/>
      <c r="H27" s="537" t="str">
        <f>VLOOKUP(H23,Plancha2!A:M,2,FALSE())</f>
        <v>Poisson</v>
      </c>
      <c r="I27" s="474"/>
      <c r="J27" s="474"/>
      <c r="K27" s="306"/>
      <c r="L27" s="529">
        <f>J26</f>
        <v>3.9</v>
      </c>
      <c r="M27" s="475"/>
      <c r="N27" s="304" t="str">
        <f>VLOOKUP(N23,Friteuse!A:M,2,FALSE())</f>
        <v>Aiguilette</v>
      </c>
      <c r="O27" s="305"/>
      <c r="P27" s="305"/>
      <c r="Q27" s="77"/>
      <c r="R27" s="529">
        <f>VLOOKUP(N23,Friteuse!A:M,3,FALSE())*P26</f>
        <v>1.032</v>
      </c>
      <c r="S27" s="475"/>
      <c r="T27" s="302" t="str">
        <f>VLOOKUP(T23,Wok!A:M,2,FALSE())</f>
        <v>Pâtes</v>
      </c>
      <c r="U27" s="303"/>
      <c r="V27" s="303"/>
      <c r="W27" s="77"/>
      <c r="X27" s="529">
        <f>VLOOKUP(T23,Wok!A:M,3,FALSE())*V26</f>
        <v>1.56</v>
      </c>
      <c r="Y27" s="475"/>
      <c r="Z27" s="302" t="str">
        <f>VLOOKUP(Z23,Poele!A:M,2,FALSE())</f>
        <v>Courgette</v>
      </c>
      <c r="AA27" s="303"/>
      <c r="AB27" s="303"/>
      <c r="AC27" s="77"/>
      <c r="AD27" s="529">
        <f>VLOOKUP(Z23,Poele!A:M,3,FALSE())*AB26</f>
        <v>1.2149999999999999</v>
      </c>
      <c r="AE27" s="475"/>
      <c r="AF27" s="302" t="str">
        <f>VLOOKUP(AF23,Four!A:M,2,FALSE())</f>
        <v>Dinde sauté</v>
      </c>
      <c r="AG27" s="303"/>
      <c r="AH27" s="303"/>
      <c r="AI27" s="77"/>
      <c r="AJ27" s="529">
        <f>VLOOKUP(AF23,Four!A:M,3,FALSE())*AH26</f>
        <v>6.03</v>
      </c>
      <c r="AK27" s="475"/>
      <c r="AL27" s="302" t="str">
        <f>VLOOKUP(AL23,Four!A:M,2,FALSE())</f>
        <v>Jambon CHX</v>
      </c>
      <c r="AM27" s="303"/>
      <c r="AN27" s="303"/>
      <c r="AO27" s="77"/>
      <c r="AP27" s="529">
        <f>VLOOKUP(AL23,Four!A:M,3,FALSE())*AN26</f>
        <v>3.51</v>
      </c>
      <c r="AQ27" s="475"/>
      <c r="AR27" s="538" t="s">
        <v>42</v>
      </c>
      <c r="AS27" s="461"/>
      <c r="AT27" s="461"/>
      <c r="AU27" s="306"/>
      <c r="AV27" s="529">
        <f>AT26</f>
        <v>7.5</v>
      </c>
      <c r="AW27" s="475"/>
      <c r="AX27" s="528" t="s">
        <v>156</v>
      </c>
      <c r="AY27" s="471"/>
      <c r="AZ27" s="471"/>
      <c r="BA27" s="78"/>
      <c r="BB27" s="529">
        <f>AZ26</f>
        <v>36</v>
      </c>
      <c r="BC27" s="475"/>
      <c r="BD27" s="528" t="s">
        <v>157</v>
      </c>
      <c r="BE27" s="471"/>
      <c r="BF27" s="471"/>
      <c r="BG27" s="78"/>
      <c r="BH27" s="529">
        <f>BF26</f>
        <v>1.7999999999999998</v>
      </c>
      <c r="BI27" s="503"/>
    </row>
    <row r="28" spans="1:61" ht="17.25" customHeight="1">
      <c r="A28" s="291" t="s">
        <v>95</v>
      </c>
      <c r="B28" s="539" t="s">
        <v>46</v>
      </c>
      <c r="C28" s="445"/>
      <c r="D28" s="517"/>
      <c r="E28" s="540">
        <f>(L26+R26+X26+AD26+AJ26+AP26+AV26+BB26+BH26+BH31+(BB31*BB28/1000)+L31+AV31)/(G25*F32)</f>
        <v>1</v>
      </c>
      <c r="F28" s="474"/>
      <c r="G28" s="475"/>
      <c r="H28" s="521" t="s">
        <v>160</v>
      </c>
      <c r="I28" s="431"/>
      <c r="J28" s="431"/>
      <c r="K28" s="431"/>
      <c r="L28" s="431"/>
      <c r="M28" s="432"/>
      <c r="N28" s="304" t="str">
        <f>VLOOKUP(N23,Friteuse!A:M,4,FALSE())</f>
        <v>Creme</v>
      </c>
      <c r="O28" s="79"/>
      <c r="P28" s="79"/>
      <c r="Q28" s="79"/>
      <c r="R28" s="530">
        <f>VLOOKUP(N23,Friteuse!A:M,5,FALSE())*P26</f>
        <v>1.2E-2</v>
      </c>
      <c r="S28" s="475"/>
      <c r="T28" s="302" t="str">
        <f>VLOOKUP(T23,Wok!A:M,4,FALSE())</f>
        <v>Lardons</v>
      </c>
      <c r="U28" s="77"/>
      <c r="V28" s="77"/>
      <c r="W28" s="77"/>
      <c r="X28" s="530">
        <f>VLOOKUP(T23,Wok!A:M,5,FALSE())*V26</f>
        <v>0.78</v>
      </c>
      <c r="Y28" s="475"/>
      <c r="Z28" s="302" t="str">
        <f>VLOOKUP(Z23,Poele!A:M,4,FALSE())</f>
        <v>Carotte</v>
      </c>
      <c r="AA28" s="77"/>
      <c r="AB28" s="77"/>
      <c r="AC28" s="77"/>
      <c r="AD28" s="530">
        <f>VLOOKUP(Z23,Poele!A:M,5,FALSE())*AB26</f>
        <v>1.2149999999999999</v>
      </c>
      <c r="AE28" s="475"/>
      <c r="AF28" s="302" t="str">
        <f>VLOOKUP(AF23,Four!A:M,4,FALSE())</f>
        <v>Carottes</v>
      </c>
      <c r="AG28" s="77"/>
      <c r="AH28" s="77"/>
      <c r="AI28" s="77"/>
      <c r="AJ28" s="530">
        <f>VLOOKUP(AF23,Four!A:M,5,FALSE())*AH26</f>
        <v>0.54</v>
      </c>
      <c r="AK28" s="475"/>
      <c r="AL28" s="302" t="str">
        <f>VLOOKUP(AL23,Four!A:M,4,FALSE())</f>
        <v>Carottes</v>
      </c>
      <c r="AM28" s="77"/>
      <c r="AN28" s="77"/>
      <c r="AO28" s="77"/>
      <c r="AP28" s="530">
        <f>VLOOKUP(AL23,Four!A:M,5,FALSE())*AN26</f>
        <v>0.19500000000000001</v>
      </c>
      <c r="AQ28" s="475"/>
      <c r="AR28" s="481" t="s">
        <v>54</v>
      </c>
      <c r="AS28" s="431"/>
      <c r="AT28" s="431"/>
      <c r="AU28" s="431"/>
      <c r="AV28" s="431"/>
      <c r="AW28" s="432"/>
      <c r="AX28" s="481" t="s">
        <v>55</v>
      </c>
      <c r="AY28" s="431"/>
      <c r="AZ28" s="431"/>
      <c r="BA28" s="431"/>
      <c r="BB28" s="531">
        <v>60</v>
      </c>
      <c r="BC28" s="432"/>
      <c r="BD28" s="483" t="s">
        <v>163</v>
      </c>
      <c r="BE28" s="431"/>
      <c r="BF28" s="431"/>
      <c r="BG28" s="431"/>
      <c r="BH28" s="431"/>
      <c r="BI28" s="484"/>
    </row>
    <row r="29" spans="1:61" ht="17.25" customHeight="1">
      <c r="A29" s="291" t="s">
        <v>81</v>
      </c>
      <c r="B29" s="513" t="s">
        <v>158</v>
      </c>
      <c r="C29" s="445"/>
      <c r="D29" s="445"/>
      <c r="E29" s="445"/>
      <c r="F29" s="541">
        <v>0.6</v>
      </c>
      <c r="G29" s="446"/>
      <c r="H29" s="276" t="s">
        <v>23</v>
      </c>
      <c r="I29" s="62">
        <v>7.0000000000000007E-2</v>
      </c>
      <c r="J29" s="63">
        <f>+I29*$C24*$F$9</f>
        <v>4.2</v>
      </c>
      <c r="K29" s="276" t="s">
        <v>24</v>
      </c>
      <c r="L29" s="64">
        <v>4</v>
      </c>
      <c r="M29" s="277">
        <f>L29/($F32*$C25)</f>
        <v>6.835269993164729E-2</v>
      </c>
      <c r="N29" s="304" t="str">
        <f>VLOOKUP(N23,Friteuse!A:M,6,FALSE())</f>
        <v>Tandoori</v>
      </c>
      <c r="O29" s="79"/>
      <c r="P29" s="79"/>
      <c r="Q29" s="79"/>
      <c r="R29" s="530">
        <f>VLOOKUP(N23,Friteuse!A:M,7,FALSE())*P26</f>
        <v>1.7999999999999999E-2</v>
      </c>
      <c r="S29" s="475"/>
      <c r="T29" s="302" t="str">
        <f>VLOOKUP(T23,Wok!A:M,6,FALSE())</f>
        <v>Oignon</v>
      </c>
      <c r="U29" s="77"/>
      <c r="V29" s="77"/>
      <c r="W29" s="77"/>
      <c r="X29" s="530">
        <f>VLOOKUP(T23,Wok!A:M,7,FALSE())*V26</f>
        <v>0.58499999999999996</v>
      </c>
      <c r="Y29" s="475"/>
      <c r="Z29" s="302" t="str">
        <f>VLOOKUP(Z23,Poele!A:M,6,FALSE())</f>
        <v>Sel</v>
      </c>
      <c r="AA29" s="77"/>
      <c r="AB29" s="77"/>
      <c r="AC29" s="77"/>
      <c r="AD29" s="530">
        <f>VLOOKUP(Z23,Poele!A:M,7,FALSE())*AB26</f>
        <v>2.6999999999999996E-2</v>
      </c>
      <c r="AE29" s="475"/>
      <c r="AF29" s="302" t="str">
        <f>VLOOKUP(AF23,Four!A:M,6,FALSE())</f>
        <v>Poireaux</v>
      </c>
      <c r="AG29" s="77"/>
      <c r="AH29" s="77"/>
      <c r="AI29" s="77"/>
      <c r="AJ29" s="530">
        <f>VLOOKUP(AF23,Four!A:M,7,FALSE())*AH26</f>
        <v>0.54</v>
      </c>
      <c r="AK29" s="475"/>
      <c r="AL29" s="302" t="str">
        <f>VLOOKUP(AL23,Four!A:M,6,FALSE())</f>
        <v>Oignons</v>
      </c>
      <c r="AM29" s="77"/>
      <c r="AN29" s="77"/>
      <c r="AO29" s="77"/>
      <c r="AP29" s="530">
        <f>VLOOKUP(AL23,Four!A:M,7,FALSE())*AN26</f>
        <v>0.156</v>
      </c>
      <c r="AQ29" s="475"/>
      <c r="AR29" s="276" t="s">
        <v>23</v>
      </c>
      <c r="AS29" s="62">
        <v>0.08</v>
      </c>
      <c r="AT29" s="63">
        <f>+AS29*$C24*$F$9</f>
        <v>4.8</v>
      </c>
      <c r="AU29" s="276" t="s">
        <v>24</v>
      </c>
      <c r="AV29" s="64">
        <v>4</v>
      </c>
      <c r="AW29" s="277">
        <f>AV29/($F32*$C25)</f>
        <v>6.835269993164729E-2</v>
      </c>
      <c r="AX29" s="307" t="s">
        <v>23</v>
      </c>
      <c r="AY29" s="62">
        <v>0.03</v>
      </c>
      <c r="AZ29" s="95">
        <f>AY29*C24*F29/(BB28/1000)</f>
        <v>29.999999999999996</v>
      </c>
      <c r="BA29" s="276" t="s">
        <v>24</v>
      </c>
      <c r="BB29" s="96">
        <v>25</v>
      </c>
      <c r="BC29" s="313">
        <f>(BB29*BB28/1000)/($F32*$C25)</f>
        <v>2.5632262474367735E-2</v>
      </c>
      <c r="BD29" s="276" t="s">
        <v>23</v>
      </c>
      <c r="BE29" s="62">
        <v>7.0000000000000007E-2</v>
      </c>
      <c r="BF29" s="63">
        <f>+BE29*$C24*$F$9</f>
        <v>4.2</v>
      </c>
      <c r="BG29" s="276" t="s">
        <v>24</v>
      </c>
      <c r="BH29" s="64">
        <v>4</v>
      </c>
      <c r="BI29" s="65">
        <f>BH29/($F32*$C25)</f>
        <v>6.835269993164729E-2</v>
      </c>
    </row>
    <row r="30" spans="1:61" ht="17.25" customHeight="1">
      <c r="A30" s="291" t="s">
        <v>94</v>
      </c>
      <c r="B30" s="544" t="s">
        <v>178</v>
      </c>
      <c r="C30" s="445"/>
      <c r="D30" s="445"/>
      <c r="E30" s="446"/>
      <c r="F30" s="319">
        <f>(L24+R24+L29+X24+AD24+AJ24+AP24+AV24+AV29+BB24+BB29*(BB28/1000)+BH24+BH29)/C25</f>
        <v>0.61</v>
      </c>
      <c r="G30" s="320">
        <f>F30/(F30+F31)</f>
        <v>0.5324720670391061</v>
      </c>
      <c r="H30" s="70" t="s">
        <v>27</v>
      </c>
      <c r="I30" s="286">
        <v>7.0000000000000007E-2</v>
      </c>
      <c r="J30" s="287">
        <f>+I30*$E24*$F29</f>
        <v>2.1</v>
      </c>
      <c r="K30" s="70" t="s">
        <v>28</v>
      </c>
      <c r="L30" s="288">
        <v>2</v>
      </c>
      <c r="M30" s="289">
        <f>L30/($F32*$E25)</f>
        <v>6.835269993164729E-2</v>
      </c>
      <c r="N30" s="304" t="str">
        <f>VLOOKUP(N23,Friteuse!A:M,8,FALSE())</f>
        <v>Sel</v>
      </c>
      <c r="O30" s="79"/>
      <c r="P30" s="79"/>
      <c r="Q30" s="79"/>
      <c r="R30" s="530">
        <f>VLOOKUP(N23,Friteuse!A:M,9,FALSE())*P26</f>
        <v>1.7999999999999999E-2</v>
      </c>
      <c r="S30" s="475"/>
      <c r="T30" s="302" t="str">
        <f>VLOOKUP(T23,Wok!A:M,8,FALSE())</f>
        <v>Reblochon</v>
      </c>
      <c r="U30" s="77"/>
      <c r="V30" s="77"/>
      <c r="W30" s="77"/>
      <c r="X30" s="530">
        <f>VLOOKUP(T23,Wok!A:M,9,FALSE())*V26</f>
        <v>0.39</v>
      </c>
      <c r="Y30" s="475"/>
      <c r="Z30" s="302" t="str">
        <f>VLOOKUP(Z23,Poele!A:M,8,FALSE())</f>
        <v>Herbes</v>
      </c>
      <c r="AA30" s="77"/>
      <c r="AB30" s="77"/>
      <c r="AC30" s="77"/>
      <c r="AD30" s="530">
        <f>VLOOKUP(Z23,Poele!A:M,9,FALSE())*AB26</f>
        <v>2.6999999999999996E-2</v>
      </c>
      <c r="AE30" s="475"/>
      <c r="AF30" s="302" t="str">
        <f>VLOOKUP(AF23,Four!A:M,8,FALSE())</f>
        <v>Celeri</v>
      </c>
      <c r="AG30" s="77"/>
      <c r="AH30" s="77"/>
      <c r="AI30" s="77"/>
      <c r="AJ30" s="530">
        <f>VLOOKUP(AF23,Four!A:M,9,FALSE())*AH26</f>
        <v>0.54</v>
      </c>
      <c r="AK30" s="475"/>
      <c r="AL30" s="302" t="str">
        <f>VLOOKUP(AL23,Four!A:M,8,FALSE())</f>
        <v>Fond braisage</v>
      </c>
      <c r="AM30" s="77"/>
      <c r="AN30" s="77"/>
      <c r="AO30" s="77"/>
      <c r="AP30" s="530">
        <f>VLOOKUP(AL23,Four!A:M,9,FALSE())*AN26</f>
        <v>3.9E-2</v>
      </c>
      <c r="AQ30" s="475"/>
      <c r="AR30" s="70" t="s">
        <v>27</v>
      </c>
      <c r="AS30" s="286">
        <v>0.09</v>
      </c>
      <c r="AT30" s="287">
        <f>+AS30*$E24*$F29</f>
        <v>2.6999999999999997</v>
      </c>
      <c r="AU30" s="70" t="s">
        <v>28</v>
      </c>
      <c r="AV30" s="288">
        <v>2</v>
      </c>
      <c r="AW30" s="289">
        <f>AV30/($F32*$E25)</f>
        <v>6.835269993164729E-2</v>
      </c>
      <c r="AX30" s="80" t="s">
        <v>27</v>
      </c>
      <c r="AY30" s="286">
        <v>0.03</v>
      </c>
      <c r="AZ30" s="321">
        <f>AY30*E24*F29/(BB28/1000)</f>
        <v>14.999999999999998</v>
      </c>
      <c r="BA30" s="70" t="s">
        <v>28</v>
      </c>
      <c r="BB30" s="322">
        <v>13</v>
      </c>
      <c r="BC30" s="315">
        <f>(BB30*BB28/1000)/($F32*$E25)</f>
        <v>2.6657552973342446E-2</v>
      </c>
      <c r="BD30" s="70" t="s">
        <v>27</v>
      </c>
      <c r="BE30" s="286">
        <v>7.0000000000000007E-2</v>
      </c>
      <c r="BF30" s="287">
        <f>+BE30*$E24*$F29</f>
        <v>2.1</v>
      </c>
      <c r="BG30" s="70" t="s">
        <v>28</v>
      </c>
      <c r="BH30" s="288">
        <v>2</v>
      </c>
      <c r="BI30" s="290">
        <f>BH30/($F32*$E25)</f>
        <v>6.835269993164729E-2</v>
      </c>
    </row>
    <row r="31" spans="1:61" ht="17.25" customHeight="1">
      <c r="A31" s="291" t="s">
        <v>45</v>
      </c>
      <c r="B31" s="447"/>
      <c r="C31" s="434"/>
      <c r="D31" s="434"/>
      <c r="E31" s="435"/>
      <c r="F31" s="323">
        <f>(L25+L30+R25+X25+AD25+AJ25+AP25+AV25+AV30+BB25+BB30*(BB28/1000)+BH30+BH25)/E25</f>
        <v>0.53560000000000008</v>
      </c>
      <c r="G31" s="324">
        <f>F31/(F30+F31)</f>
        <v>0.46752793296089395</v>
      </c>
      <c r="H31" s="298" t="s">
        <v>31</v>
      </c>
      <c r="I31" s="299">
        <f>+J31/$G24</f>
        <v>4.2000000000000003E-2</v>
      </c>
      <c r="J31" s="74">
        <f>SUM(J29:J30)</f>
        <v>6.3000000000000007</v>
      </c>
      <c r="K31" s="75" t="s">
        <v>31</v>
      </c>
      <c r="L31" s="300">
        <f>SUM(L29:L30)</f>
        <v>6</v>
      </c>
      <c r="M31" s="301">
        <f>L31/($F32*$G25)</f>
        <v>6.8352699931647304E-2</v>
      </c>
      <c r="N31" s="304" t="str">
        <f>VLOOKUP(N23,Friteuse!A:M,10,FALSE())</f>
        <v>Panko</v>
      </c>
      <c r="O31" s="78"/>
      <c r="P31" s="78"/>
      <c r="Q31" s="78"/>
      <c r="R31" s="530">
        <f>VLOOKUP(N23,Friteuse!A:M,11,FALSE())*P26</f>
        <v>0.12</v>
      </c>
      <c r="S31" s="475"/>
      <c r="T31" s="302" t="str">
        <f>VLOOKUP(T23,Wok!A:M,10,FALSE())</f>
        <v>Crème</v>
      </c>
      <c r="U31" s="81"/>
      <c r="V31" s="81"/>
      <c r="W31" s="81"/>
      <c r="X31" s="530">
        <f>VLOOKUP(T23,Wok!A:M,11,FALSE())*V26</f>
        <v>0.39</v>
      </c>
      <c r="Y31" s="475"/>
      <c r="Z31" s="302" t="str">
        <f>VLOOKUP(Z23,Poele!A:M,10,FALSE())</f>
        <v>Beurre</v>
      </c>
      <c r="AA31" s="81"/>
      <c r="AB31" s="81"/>
      <c r="AC31" s="81"/>
      <c r="AD31" s="530">
        <f>VLOOKUP(Z23,Poele!A:M,11,FALSE())*AB26</f>
        <v>0.21599999999999997</v>
      </c>
      <c r="AE31" s="475"/>
      <c r="AF31" s="302" t="str">
        <f>VLOOKUP(AF23,Four!A:M,10,FALSE())</f>
        <v>Champignons</v>
      </c>
      <c r="AG31" s="81"/>
      <c r="AH31" s="81"/>
      <c r="AI31" s="81"/>
      <c r="AJ31" s="530">
        <f>VLOOKUP(AF23,Four!A:M,11,FALSE())*AH26</f>
        <v>0.80999999999999994</v>
      </c>
      <c r="AK31" s="475"/>
      <c r="AL31" s="302">
        <f>VLOOKUP(AL23,Four!A:M,10,FALSE())</f>
        <v>0</v>
      </c>
      <c r="AM31" s="81"/>
      <c r="AN31" s="81"/>
      <c r="AO31" s="81"/>
      <c r="AP31" s="530">
        <f>VLOOKUP(AL23,Four!A:M,11,FALSE())*AN26</f>
        <v>0</v>
      </c>
      <c r="AQ31" s="475"/>
      <c r="AR31" s="298" t="s">
        <v>31</v>
      </c>
      <c r="AS31" s="299">
        <f>+AT31/$G24</f>
        <v>0.05</v>
      </c>
      <c r="AT31" s="74">
        <f>SUM(AT29:AT30)</f>
        <v>7.5</v>
      </c>
      <c r="AU31" s="75" t="s">
        <v>31</v>
      </c>
      <c r="AV31" s="300">
        <f>SUM(AV29:AV30)</f>
        <v>6</v>
      </c>
      <c r="AW31" s="301">
        <f>AV31/($F32*$G25)</f>
        <v>6.8352699931647304E-2</v>
      </c>
      <c r="AX31" s="308" t="s">
        <v>31</v>
      </c>
      <c r="AY31" s="299"/>
      <c r="AZ31" s="97">
        <f>SUM(AZ29:AZ30)</f>
        <v>44.999999999999993</v>
      </c>
      <c r="BA31" s="75" t="s">
        <v>31</v>
      </c>
      <c r="BB31" s="325">
        <f>SUM(BB29:BB30)</f>
        <v>38</v>
      </c>
      <c r="BC31" s="295">
        <f>(BB31*BB28/1000)/($F32*$G25)</f>
        <v>2.5974025974025972E-2</v>
      </c>
      <c r="BD31" s="298" t="s">
        <v>31</v>
      </c>
      <c r="BE31" s="299">
        <f>+BF31/$G24</f>
        <v>4.2000000000000003E-2</v>
      </c>
      <c r="BF31" s="74">
        <f>SUM(BF29:BF30)</f>
        <v>6.3000000000000007</v>
      </c>
      <c r="BG31" s="75" t="s">
        <v>31</v>
      </c>
      <c r="BH31" s="300">
        <f>SUM(BH29:BH30)</f>
        <v>6</v>
      </c>
      <c r="BI31" s="76">
        <f>BH31/($F32*$G25)</f>
        <v>6.8352699931647304E-2</v>
      </c>
    </row>
    <row r="32" spans="1:61" ht="17.25" customHeight="1">
      <c r="A32" s="291" t="s">
        <v>56</v>
      </c>
      <c r="B32" s="545" t="s">
        <v>159</v>
      </c>
      <c r="C32" s="431"/>
      <c r="D32" s="431"/>
      <c r="E32" s="432"/>
      <c r="F32" s="546">
        <f>(L26+L31+R26+X26+AD26+AJ26+AP26+AV26+AV31+BB31*BB28/1000+BB26+BH26+BH31)/G25</f>
        <v>0.58520000000000005</v>
      </c>
      <c r="G32" s="435"/>
      <c r="H32" s="302" t="str">
        <f>VLOOKUP(H28,Plancha2!A:M,2,FALSE())</f>
        <v>Lamelle encornet</v>
      </c>
      <c r="I32" s="82"/>
      <c r="J32" s="78"/>
      <c r="K32" s="78"/>
      <c r="L32" s="529">
        <f>J31</f>
        <v>6.3000000000000007</v>
      </c>
      <c r="M32" s="475"/>
      <c r="N32" s="304">
        <f>VLOOKUP(N23,Friteuse!A:M,12,FALSE())</f>
        <v>0</v>
      </c>
      <c r="O32" s="306"/>
      <c r="P32" s="306"/>
      <c r="Q32" s="306"/>
      <c r="R32" s="542">
        <f>VLOOKUP(N23,Friteuse!A:M,13,FALSE())*P26</f>
        <v>0</v>
      </c>
      <c r="S32" s="435"/>
      <c r="T32" s="302" t="str">
        <f>VLOOKUP(T23,Wok!A:M,12,FALSE())</f>
        <v>Vin blc</v>
      </c>
      <c r="U32" s="309"/>
      <c r="V32" s="309"/>
      <c r="W32" s="309"/>
      <c r="X32" s="542">
        <f>VLOOKUP(T23,Wok!A:M,13,FALSE())*V26</f>
        <v>0.19500000000000001</v>
      </c>
      <c r="Y32" s="435"/>
      <c r="Z32" s="302">
        <f>VLOOKUP(Z23,Poele!A:M,12,FALSE())</f>
        <v>0</v>
      </c>
      <c r="AA32" s="309"/>
      <c r="AB32" s="309"/>
      <c r="AC32" s="309"/>
      <c r="AD32" s="542">
        <f>VLOOKUP(Z23,Poele!A:M,13,FALSE())*AB26</f>
        <v>0</v>
      </c>
      <c r="AE32" s="435"/>
      <c r="AF32" s="302" t="str">
        <f>VLOOKUP(AF23,Four!A:M,12,FALSE())</f>
        <v>Oignons</v>
      </c>
      <c r="AG32" s="309"/>
      <c r="AH32" s="309"/>
      <c r="AI32" s="309"/>
      <c r="AJ32" s="542">
        <f>VLOOKUP(AF23,Four!A:M,13,FALSE())*AH26</f>
        <v>0.54</v>
      </c>
      <c r="AK32" s="435"/>
      <c r="AL32" s="302">
        <f>VLOOKUP(AL23,Four!A:M,12,FALSE())</f>
        <v>0</v>
      </c>
      <c r="AM32" s="309"/>
      <c r="AN32" s="309"/>
      <c r="AO32" s="309"/>
      <c r="AP32" s="542">
        <f>VLOOKUP(AL23,Four!A:M,13,FALSE())*AN26</f>
        <v>0</v>
      </c>
      <c r="AQ32" s="435"/>
      <c r="AR32" s="310" t="s">
        <v>74</v>
      </c>
      <c r="AS32" s="82"/>
      <c r="AT32" s="78"/>
      <c r="AU32" s="78"/>
      <c r="AV32" s="529">
        <f>AT31</f>
        <v>7.5</v>
      </c>
      <c r="AW32" s="475"/>
      <c r="AX32" s="538" t="s">
        <v>75</v>
      </c>
      <c r="AY32" s="461"/>
      <c r="AZ32" s="461"/>
      <c r="BA32" s="311"/>
      <c r="BB32" s="529">
        <f>AZ31*(BB28/1000)</f>
        <v>2.6999999999999993</v>
      </c>
      <c r="BC32" s="475"/>
      <c r="BD32" s="543" t="s">
        <v>115</v>
      </c>
      <c r="BE32" s="461"/>
      <c r="BF32" s="461"/>
      <c r="BG32" s="311"/>
      <c r="BH32" s="529">
        <f>BF31</f>
        <v>6.3000000000000007</v>
      </c>
      <c r="BI32" s="503"/>
    </row>
    <row r="33" spans="1:61" ht="17.25" customHeight="1">
      <c r="A33" s="55">
        <f>A23+1</f>
        <v>45315</v>
      </c>
      <c r="B33" s="547" t="s">
        <v>8</v>
      </c>
      <c r="C33" s="432"/>
      <c r="D33" s="547" t="s">
        <v>9</v>
      </c>
      <c r="E33" s="432"/>
      <c r="F33" s="317" t="s">
        <v>10</v>
      </c>
      <c r="G33" s="318"/>
      <c r="H33" s="521" t="s">
        <v>149</v>
      </c>
      <c r="I33" s="431"/>
      <c r="J33" s="431"/>
      <c r="K33" s="431"/>
      <c r="L33" s="431"/>
      <c r="M33" s="432"/>
      <c r="N33" s="522" t="s">
        <v>150</v>
      </c>
      <c r="O33" s="431"/>
      <c r="P33" s="431"/>
      <c r="Q33" s="431"/>
      <c r="R33" s="431"/>
      <c r="S33" s="432"/>
      <c r="T33" s="523" t="s">
        <v>283</v>
      </c>
      <c r="U33" s="431" t="s">
        <v>283</v>
      </c>
      <c r="V33" s="431" t="s">
        <v>283</v>
      </c>
      <c r="W33" s="431" t="s">
        <v>283</v>
      </c>
      <c r="X33" s="431" t="s">
        <v>283</v>
      </c>
      <c r="Y33" s="432" t="s">
        <v>283</v>
      </c>
      <c r="Z33" s="523" t="s">
        <v>218</v>
      </c>
      <c r="AA33" s="431" t="s">
        <v>218</v>
      </c>
      <c r="AB33" s="431" t="s">
        <v>218</v>
      </c>
      <c r="AC33" s="431" t="s">
        <v>218</v>
      </c>
      <c r="AD33" s="431" t="s">
        <v>218</v>
      </c>
      <c r="AE33" s="432" t="s">
        <v>218</v>
      </c>
      <c r="AF33" s="519" t="s">
        <v>277</v>
      </c>
      <c r="AG33" s="431"/>
      <c r="AH33" s="431"/>
      <c r="AI33" s="431"/>
      <c r="AJ33" s="431"/>
      <c r="AK33" s="432"/>
      <c r="AL33" s="519" t="s">
        <v>284</v>
      </c>
      <c r="AM33" s="431" t="s">
        <v>284</v>
      </c>
      <c r="AN33" s="431" t="s">
        <v>284</v>
      </c>
      <c r="AO33" s="431" t="s">
        <v>284</v>
      </c>
      <c r="AP33" s="431" t="s">
        <v>284</v>
      </c>
      <c r="AQ33" s="432" t="s">
        <v>284</v>
      </c>
      <c r="AR33" s="481" t="s">
        <v>18</v>
      </c>
      <c r="AS33" s="431"/>
      <c r="AT33" s="431"/>
      <c r="AU33" s="431"/>
      <c r="AV33" s="431"/>
      <c r="AW33" s="432"/>
      <c r="AX33" s="482" t="s">
        <v>154</v>
      </c>
      <c r="AY33" s="434"/>
      <c r="AZ33" s="434"/>
      <c r="BA33" s="434"/>
      <c r="BB33" s="434"/>
      <c r="BC33" s="435"/>
      <c r="BD33" s="483" t="s">
        <v>155</v>
      </c>
      <c r="BE33" s="431"/>
      <c r="BF33" s="431"/>
      <c r="BG33" s="431"/>
      <c r="BH33" s="431"/>
      <c r="BI33" s="484"/>
    </row>
    <row r="34" spans="1:61" ht="17.25" customHeight="1">
      <c r="A34" s="269"/>
      <c r="B34" s="270" t="s">
        <v>22</v>
      </c>
      <c r="C34" s="271">
        <v>100</v>
      </c>
      <c r="D34" s="270" t="s">
        <v>22</v>
      </c>
      <c r="E34" s="272">
        <v>50</v>
      </c>
      <c r="F34" s="270" t="s">
        <v>22</v>
      </c>
      <c r="G34" s="56">
        <f t="shared" ref="G34:G35" si="3">+C34+E34</f>
        <v>150</v>
      </c>
      <c r="H34" s="276" t="s">
        <v>23</v>
      </c>
      <c r="I34" s="62">
        <v>0.05</v>
      </c>
      <c r="J34" s="63">
        <f>+I34*$C34*$F39</f>
        <v>3</v>
      </c>
      <c r="K34" s="276" t="s">
        <v>24</v>
      </c>
      <c r="L34" s="64">
        <v>3</v>
      </c>
      <c r="M34" s="277">
        <f>L34/($F42*$C35)</f>
        <v>5.1264524948735471E-2</v>
      </c>
      <c r="N34" s="273" t="s">
        <v>23</v>
      </c>
      <c r="O34" s="57">
        <v>0.01</v>
      </c>
      <c r="P34" s="58">
        <f>+O34*$C34*$F39</f>
        <v>0.6</v>
      </c>
      <c r="Q34" s="273" t="s">
        <v>24</v>
      </c>
      <c r="R34" s="84">
        <v>0.5</v>
      </c>
      <c r="S34" s="313">
        <f>R34/($F42*$C35)</f>
        <v>8.5440874914559112E-3</v>
      </c>
      <c r="T34" s="274" t="s">
        <v>23</v>
      </c>
      <c r="U34" s="60">
        <v>0.05</v>
      </c>
      <c r="V34" s="61">
        <f>+U34*$C34*$F39</f>
        <v>3</v>
      </c>
      <c r="W34" s="274" t="s">
        <v>24</v>
      </c>
      <c r="X34" s="59">
        <v>3</v>
      </c>
      <c r="Y34" s="275">
        <f>X34/($F42*$C35)</f>
        <v>5.1264524948735471E-2</v>
      </c>
      <c r="Z34" s="274" t="s">
        <v>23</v>
      </c>
      <c r="AA34" s="60">
        <v>0.03</v>
      </c>
      <c r="AB34" s="61">
        <f>+AA34*$C34*$F39</f>
        <v>1.7999999999999998</v>
      </c>
      <c r="AC34" s="274" t="s">
        <v>24</v>
      </c>
      <c r="AD34" s="59">
        <v>2</v>
      </c>
      <c r="AE34" s="275">
        <f>AD34/($F42*$C35)</f>
        <v>3.4176349965823645E-2</v>
      </c>
      <c r="AF34" s="274" t="s">
        <v>23</v>
      </c>
      <c r="AG34" s="60">
        <v>0.1</v>
      </c>
      <c r="AH34" s="61">
        <f>+AG34*$C34*$F39</f>
        <v>6</v>
      </c>
      <c r="AI34" s="274" t="s">
        <v>24</v>
      </c>
      <c r="AJ34" s="59">
        <v>6</v>
      </c>
      <c r="AK34" s="275">
        <f>AJ34/($F42*$C35)</f>
        <v>0.10252904989747094</v>
      </c>
      <c r="AL34" s="274" t="s">
        <v>23</v>
      </c>
      <c r="AM34" s="60">
        <v>0.05</v>
      </c>
      <c r="AN34" s="61">
        <f>+AM34*$C34*$F39</f>
        <v>3</v>
      </c>
      <c r="AO34" s="274" t="s">
        <v>24</v>
      </c>
      <c r="AP34" s="59">
        <v>3</v>
      </c>
      <c r="AQ34" s="275">
        <f>AP34/($F42*$C35)</f>
        <v>5.1264524948735471E-2</v>
      </c>
      <c r="AR34" s="276" t="s">
        <v>23</v>
      </c>
      <c r="AS34" s="62">
        <v>0.08</v>
      </c>
      <c r="AT34" s="63">
        <f>+AS34*$C34*$F39</f>
        <v>4.8</v>
      </c>
      <c r="AU34" s="276" t="s">
        <v>24</v>
      </c>
      <c r="AV34" s="64">
        <v>4</v>
      </c>
      <c r="AW34" s="277">
        <f>AV34/($F42*$C35)</f>
        <v>6.835269993164729E-2</v>
      </c>
      <c r="AX34" s="276" t="s">
        <v>23</v>
      </c>
      <c r="AY34" s="62">
        <v>0.43</v>
      </c>
      <c r="AZ34" s="63">
        <f>+AY34*$C34*$F39</f>
        <v>25.8</v>
      </c>
      <c r="BA34" s="276" t="s">
        <v>24</v>
      </c>
      <c r="BB34" s="64">
        <v>25</v>
      </c>
      <c r="BC34" s="277">
        <f>BB34/($F42*$C35)</f>
        <v>0.42720437457279559</v>
      </c>
      <c r="BD34" s="276" t="s">
        <v>23</v>
      </c>
      <c r="BE34" s="62">
        <v>0.02</v>
      </c>
      <c r="BF34" s="63">
        <f>+BE34*$C34*$F39</f>
        <v>1.2</v>
      </c>
      <c r="BG34" s="276" t="s">
        <v>24</v>
      </c>
      <c r="BH34" s="64">
        <v>1</v>
      </c>
      <c r="BI34" s="65">
        <f>BH34/($F42*$C35)</f>
        <v>1.7088174982911822E-2</v>
      </c>
    </row>
    <row r="35" spans="1:61" ht="17.25" customHeight="1">
      <c r="A35" s="278" t="s">
        <v>111</v>
      </c>
      <c r="B35" s="266" t="s">
        <v>26</v>
      </c>
      <c r="C35" s="66">
        <v>100</v>
      </c>
      <c r="D35" s="266" t="s">
        <v>26</v>
      </c>
      <c r="E35" s="67">
        <v>50</v>
      </c>
      <c r="F35" s="266" t="s">
        <v>26</v>
      </c>
      <c r="G35" s="279">
        <f t="shared" si="3"/>
        <v>150</v>
      </c>
      <c r="H35" s="70" t="s">
        <v>27</v>
      </c>
      <c r="I35" s="286">
        <v>0.03</v>
      </c>
      <c r="J35" s="287">
        <f>+I35*$E34*$F39</f>
        <v>0.89999999999999991</v>
      </c>
      <c r="K35" s="70" t="s">
        <v>28</v>
      </c>
      <c r="L35" s="288">
        <v>1</v>
      </c>
      <c r="M35" s="289">
        <f>L35/($F42*$E35)</f>
        <v>3.4176349965823645E-2</v>
      </c>
      <c r="N35" s="68" t="s">
        <v>27</v>
      </c>
      <c r="O35" s="280">
        <v>0.02</v>
      </c>
      <c r="P35" s="281">
        <f>+O35*$E34*$F39</f>
        <v>0.6</v>
      </c>
      <c r="Q35" s="68" t="s">
        <v>28</v>
      </c>
      <c r="R35" s="314">
        <v>0.5</v>
      </c>
      <c r="S35" s="315">
        <f>R35/($F42*$E35)</f>
        <v>1.7088174982911822E-2</v>
      </c>
      <c r="T35" s="69" t="s">
        <v>27</v>
      </c>
      <c r="U35" s="284">
        <v>0.03</v>
      </c>
      <c r="V35" s="285">
        <f>+U35*$E34*$F39</f>
        <v>0.89999999999999991</v>
      </c>
      <c r="W35" s="69" t="s">
        <v>28</v>
      </c>
      <c r="X35" s="282">
        <v>1</v>
      </c>
      <c r="Y35" s="283">
        <f>X35/($F42*$E35)</f>
        <v>3.4176349965823645E-2</v>
      </c>
      <c r="Z35" s="69" t="s">
        <v>27</v>
      </c>
      <c r="AA35" s="284">
        <v>0.03</v>
      </c>
      <c r="AB35" s="285">
        <f>+AA35*$E34*$F39</f>
        <v>0.89999999999999991</v>
      </c>
      <c r="AC35" s="69" t="s">
        <v>28</v>
      </c>
      <c r="AD35" s="282">
        <v>1</v>
      </c>
      <c r="AE35" s="283">
        <f>AD35/($F42*$E35)</f>
        <v>3.4176349965823645E-2</v>
      </c>
      <c r="AF35" s="69" t="s">
        <v>27</v>
      </c>
      <c r="AG35" s="284">
        <v>0.1</v>
      </c>
      <c r="AH35" s="285">
        <f>+AG35*$E34*$F39</f>
        <v>3</v>
      </c>
      <c r="AI35" s="69" t="s">
        <v>28</v>
      </c>
      <c r="AJ35" s="282">
        <v>3</v>
      </c>
      <c r="AK35" s="283">
        <f>AJ35/($F42*$E35)</f>
        <v>0.10252904989747094</v>
      </c>
      <c r="AL35" s="69" t="s">
        <v>27</v>
      </c>
      <c r="AM35" s="284">
        <v>0.03</v>
      </c>
      <c r="AN35" s="285">
        <f>+AM35*$E34*$F39</f>
        <v>0.89999999999999991</v>
      </c>
      <c r="AO35" s="69" t="s">
        <v>28</v>
      </c>
      <c r="AP35" s="282">
        <v>1</v>
      </c>
      <c r="AQ35" s="283">
        <f>AP35/($F42*$E35)</f>
        <v>3.4176349965823645E-2</v>
      </c>
      <c r="AR35" s="70" t="s">
        <v>27</v>
      </c>
      <c r="AS35" s="286">
        <v>0.09</v>
      </c>
      <c r="AT35" s="287">
        <f>+AS35*$E34*$F39</f>
        <v>2.6999999999999997</v>
      </c>
      <c r="AU35" s="70" t="s">
        <v>28</v>
      </c>
      <c r="AV35" s="288">
        <v>2</v>
      </c>
      <c r="AW35" s="289">
        <f>AV35/($F42*$E35)</f>
        <v>6.835269993164729E-2</v>
      </c>
      <c r="AX35" s="70" t="s">
        <v>27</v>
      </c>
      <c r="AY35" s="286">
        <v>0.34</v>
      </c>
      <c r="AZ35" s="287">
        <f>+AY35*$E34*$F39</f>
        <v>10.199999999999999</v>
      </c>
      <c r="BA35" s="70" t="s">
        <v>28</v>
      </c>
      <c r="BB35" s="288">
        <v>10</v>
      </c>
      <c r="BC35" s="289">
        <f>BB35/($F42*$E35)</f>
        <v>0.34176349965823649</v>
      </c>
      <c r="BD35" s="70" t="s">
        <v>27</v>
      </c>
      <c r="BE35" s="286">
        <v>0.02</v>
      </c>
      <c r="BF35" s="287">
        <f>+BE35*$E34*$F39</f>
        <v>0.6</v>
      </c>
      <c r="BG35" s="70" t="s">
        <v>28</v>
      </c>
      <c r="BH35" s="288">
        <v>0.5</v>
      </c>
      <c r="BI35" s="290">
        <f>BH35/($F42*$E35)</f>
        <v>1.7088174982911822E-2</v>
      </c>
    </row>
    <row r="36" spans="1:61" ht="17.25" customHeight="1">
      <c r="A36" s="291" t="s">
        <v>94</v>
      </c>
      <c r="B36" s="532" t="s">
        <v>30</v>
      </c>
      <c r="C36" s="454"/>
      <c r="D36" s="455"/>
      <c r="E36" s="533">
        <f>(I34+O34+U34+AA34+AG34+AM34+AS34+AY34+BE34+BE39+AY39+AS39+I39)/2</f>
        <v>0.53500000000000014</v>
      </c>
      <c r="F36" s="457"/>
      <c r="G36" s="534">
        <f>(E36+E37)</f>
        <v>1.0100000000000002</v>
      </c>
      <c r="H36" s="298" t="s">
        <v>31</v>
      </c>
      <c r="I36" s="299">
        <f>+J36/$G34</f>
        <v>2.5999999999999999E-2</v>
      </c>
      <c r="J36" s="74">
        <f>SUM(J34:J35)</f>
        <v>3.9</v>
      </c>
      <c r="K36" s="75" t="s">
        <v>31</v>
      </c>
      <c r="L36" s="300">
        <f>SUM(L34:L35)</f>
        <v>4</v>
      </c>
      <c r="M36" s="301">
        <f>L36/($F42*$G35)</f>
        <v>4.5568466621098203E-2</v>
      </c>
      <c r="N36" s="292" t="s">
        <v>31</v>
      </c>
      <c r="O36" s="293">
        <f>+P36/$G34</f>
        <v>8.0000000000000002E-3</v>
      </c>
      <c r="P36" s="71">
        <f>SUM(P34:P35)</f>
        <v>1.2</v>
      </c>
      <c r="Q36" s="85" t="s">
        <v>31</v>
      </c>
      <c r="R36" s="316">
        <f>SUM(R34:R35)</f>
        <v>1</v>
      </c>
      <c r="S36" s="295">
        <f>R36/($F42*$G35)</f>
        <v>1.1392116655274551E-2</v>
      </c>
      <c r="T36" s="296" t="s">
        <v>31</v>
      </c>
      <c r="U36" s="297">
        <f>+V36/$G34</f>
        <v>2.5999999999999999E-2</v>
      </c>
      <c r="V36" s="73">
        <f>SUM(V34:V35)</f>
        <v>3.9</v>
      </c>
      <c r="W36" s="72" t="s">
        <v>31</v>
      </c>
      <c r="X36" s="294">
        <f>SUM(X34:X35)</f>
        <v>4</v>
      </c>
      <c r="Y36" s="295">
        <f>X36/($F42*$G35)</f>
        <v>4.5568466621098203E-2</v>
      </c>
      <c r="Z36" s="296" t="s">
        <v>31</v>
      </c>
      <c r="AA36" s="297">
        <f>+AB36/$G34</f>
        <v>1.7999999999999999E-2</v>
      </c>
      <c r="AB36" s="73">
        <f>SUM(AB34:AB35)</f>
        <v>2.6999999999999997</v>
      </c>
      <c r="AC36" s="72" t="s">
        <v>31</v>
      </c>
      <c r="AD36" s="294">
        <f>SUM(AD34:AD35)</f>
        <v>3</v>
      </c>
      <c r="AE36" s="295">
        <f>AD36/($F42*$G35)</f>
        <v>3.4176349965823652E-2</v>
      </c>
      <c r="AF36" s="296" t="s">
        <v>31</v>
      </c>
      <c r="AG36" s="297">
        <f>+AH36/$G34</f>
        <v>0.06</v>
      </c>
      <c r="AH36" s="73">
        <f>SUM(AH34:AH35)</f>
        <v>9</v>
      </c>
      <c r="AI36" s="72" t="s">
        <v>31</v>
      </c>
      <c r="AJ36" s="294">
        <f>SUM(AJ34:AJ35)</f>
        <v>9</v>
      </c>
      <c r="AK36" s="295">
        <f>AJ36/($F42*$G35)</f>
        <v>0.10252904989747094</v>
      </c>
      <c r="AL36" s="296" t="s">
        <v>31</v>
      </c>
      <c r="AM36" s="297">
        <f>+AN36/$G34</f>
        <v>2.5999999999999999E-2</v>
      </c>
      <c r="AN36" s="73">
        <f>SUM(AN34:AN35)</f>
        <v>3.9</v>
      </c>
      <c r="AO36" s="72" t="s">
        <v>31</v>
      </c>
      <c r="AP36" s="294">
        <f>SUM(AP34:AP35)</f>
        <v>4</v>
      </c>
      <c r="AQ36" s="295">
        <f>AP36/($F42*$G35)</f>
        <v>4.5568466621098203E-2</v>
      </c>
      <c r="AR36" s="298" t="s">
        <v>31</v>
      </c>
      <c r="AS36" s="299">
        <f>+AT36/$G34</f>
        <v>0.05</v>
      </c>
      <c r="AT36" s="74">
        <f>SUM(AT34:AT35)</f>
        <v>7.5</v>
      </c>
      <c r="AU36" s="75" t="s">
        <v>31</v>
      </c>
      <c r="AV36" s="300">
        <f>SUM(AV34:AV35)</f>
        <v>6</v>
      </c>
      <c r="AW36" s="301">
        <f>AV36/($F42*$G35)</f>
        <v>6.8352699931647304E-2</v>
      </c>
      <c r="AX36" s="298" t="s">
        <v>31</v>
      </c>
      <c r="AY36" s="299">
        <f>+AZ36/$G34</f>
        <v>0.24</v>
      </c>
      <c r="AZ36" s="74">
        <f>SUM(AZ34:AZ35)</f>
        <v>36</v>
      </c>
      <c r="BA36" s="75" t="s">
        <v>31</v>
      </c>
      <c r="BB36" s="300">
        <f>SUM(BB34:BB35)</f>
        <v>35</v>
      </c>
      <c r="BC36" s="301">
        <f>BB36/($F42*$G35)</f>
        <v>0.39872408293460926</v>
      </c>
      <c r="BD36" s="298" t="s">
        <v>31</v>
      </c>
      <c r="BE36" s="299">
        <f>+BF36/$G34</f>
        <v>1.1999999999999999E-2</v>
      </c>
      <c r="BF36" s="74">
        <f>SUM(BF34:BF35)</f>
        <v>1.7999999999999998</v>
      </c>
      <c r="BG36" s="75" t="s">
        <v>31</v>
      </c>
      <c r="BH36" s="300">
        <f>SUM(BH34:BH35)</f>
        <v>1.5</v>
      </c>
      <c r="BI36" s="76">
        <f>BH36/($F42*$G35)</f>
        <v>1.7088174982911826E-2</v>
      </c>
    </row>
    <row r="37" spans="1:61" ht="17.25" customHeight="1">
      <c r="A37" s="291" t="s">
        <v>29</v>
      </c>
      <c r="B37" s="535" t="s">
        <v>34</v>
      </c>
      <c r="C37" s="461"/>
      <c r="D37" s="462"/>
      <c r="E37" s="536">
        <f>(I35+O35+U35+AA35+AG35+AM35+AS35+AY35+BE35+AS40+AY40+BE40+I40)/2</f>
        <v>0.47500000000000009</v>
      </c>
      <c r="F37" s="464"/>
      <c r="G37" s="459"/>
      <c r="H37" s="537" t="str">
        <f>VLOOKUP(H33,Plancha2!A:M,2,FALSE())</f>
        <v>Poisson</v>
      </c>
      <c r="I37" s="474"/>
      <c r="J37" s="474"/>
      <c r="K37" s="306"/>
      <c r="L37" s="529">
        <f>J36</f>
        <v>3.9</v>
      </c>
      <c r="M37" s="475"/>
      <c r="N37" s="304" t="str">
        <f>VLOOKUP(N33,Friteuse!A:M,2,FALSE())</f>
        <v>Falafel</v>
      </c>
      <c r="O37" s="305"/>
      <c r="P37" s="305"/>
      <c r="Q37" s="77"/>
      <c r="R37" s="529">
        <f>VLOOKUP(N33,Friteuse!A:M,3,FALSE())*P36</f>
        <v>1.2</v>
      </c>
      <c r="S37" s="475"/>
      <c r="T37" s="302" t="str">
        <f>VLOOKUP(T33,Wok!A:M,2,FALSE())</f>
        <v>Aiguillettes</v>
      </c>
      <c r="U37" s="303"/>
      <c r="V37" s="303"/>
      <c r="W37" s="77"/>
      <c r="X37" s="529">
        <f>VLOOKUP(T33,Wok!A:M,3,FALSE())*V36</f>
        <v>2.73</v>
      </c>
      <c r="Y37" s="475"/>
      <c r="Z37" s="302" t="str">
        <f>VLOOKUP(Z33,Poele!A:M,2,FALSE())</f>
        <v>Calamars</v>
      </c>
      <c r="AA37" s="303"/>
      <c r="AB37" s="303"/>
      <c r="AC37" s="77"/>
      <c r="AD37" s="529">
        <f>VLOOKUP(Z33,Poele!A:M,3,FALSE())*AB36</f>
        <v>1.7549999999999999</v>
      </c>
      <c r="AE37" s="475"/>
      <c r="AF37" s="302" t="str">
        <f>VLOOKUP(AF33,Four!A:M,2,FALSE())</f>
        <v>Dinde sauté</v>
      </c>
      <c r="AG37" s="303"/>
      <c r="AH37" s="303"/>
      <c r="AI37" s="77"/>
      <c r="AJ37" s="529">
        <f>VLOOKUP(AF33,Four!A:M,3,FALSE())*AH36</f>
        <v>6.03</v>
      </c>
      <c r="AK37" s="475"/>
      <c r="AL37" s="302" t="str">
        <f>VLOOKUP(AL33,Four!A:M,2,FALSE())</f>
        <v>Chou vert</v>
      </c>
      <c r="AM37" s="303"/>
      <c r="AN37" s="303"/>
      <c r="AO37" s="77"/>
      <c r="AP37" s="529">
        <f>VLOOKUP(AL33,Four!A:M,3,FALSE())*AN36</f>
        <v>2.2229999999999999</v>
      </c>
      <c r="AQ37" s="475"/>
      <c r="AR37" s="538" t="s">
        <v>42</v>
      </c>
      <c r="AS37" s="461"/>
      <c r="AT37" s="461"/>
      <c r="AU37" s="306"/>
      <c r="AV37" s="529">
        <f>AT36</f>
        <v>7.5</v>
      </c>
      <c r="AW37" s="475"/>
      <c r="AX37" s="528" t="s">
        <v>156</v>
      </c>
      <c r="AY37" s="471"/>
      <c r="AZ37" s="471"/>
      <c r="BA37" s="78"/>
      <c r="BB37" s="529">
        <f>AZ36</f>
        <v>36</v>
      </c>
      <c r="BC37" s="475"/>
      <c r="BD37" s="528" t="s">
        <v>157</v>
      </c>
      <c r="BE37" s="471"/>
      <c r="BF37" s="471"/>
      <c r="BG37" s="78"/>
      <c r="BH37" s="529">
        <f>BF36</f>
        <v>1.7999999999999998</v>
      </c>
      <c r="BI37" s="503"/>
    </row>
    <row r="38" spans="1:61" ht="17.25" customHeight="1">
      <c r="A38" s="291" t="s">
        <v>45</v>
      </c>
      <c r="B38" s="539" t="s">
        <v>46</v>
      </c>
      <c r="C38" s="445"/>
      <c r="D38" s="517"/>
      <c r="E38" s="540">
        <f>(L36+R36+X36+AD36+AJ36+AP36+AV36+BB36+BH36+BH41+(BB41*BB38/1000)+L41+AV41)/(G35*F42)</f>
        <v>1</v>
      </c>
      <c r="F38" s="474"/>
      <c r="G38" s="475"/>
      <c r="H38" s="521" t="s">
        <v>223</v>
      </c>
      <c r="I38" s="431"/>
      <c r="J38" s="431"/>
      <c r="K38" s="431"/>
      <c r="L38" s="431"/>
      <c r="M38" s="432"/>
      <c r="N38" s="304">
        <f>VLOOKUP(N33,Friteuse!A:M,4,FALSE())</f>
        <v>0</v>
      </c>
      <c r="O38" s="79"/>
      <c r="P38" s="79"/>
      <c r="Q38" s="79"/>
      <c r="R38" s="530">
        <f>VLOOKUP(N33,Friteuse!A:M,5,FALSE())*P36</f>
        <v>0</v>
      </c>
      <c r="S38" s="475"/>
      <c r="T38" s="302" t="str">
        <f>VLOOKUP(T33,Wok!A:M,4,FALSE())</f>
        <v>Pleurotes</v>
      </c>
      <c r="U38" s="77"/>
      <c r="V38" s="77"/>
      <c r="W38" s="77"/>
      <c r="X38" s="530">
        <f>VLOOKUP(T33,Wok!A:M,5,FALSE())*V36</f>
        <v>0.78</v>
      </c>
      <c r="Y38" s="475"/>
      <c r="Z38" s="302" t="str">
        <f>VLOOKUP(Z33,Poele!A:M,4,FALSE())</f>
        <v>Oignons</v>
      </c>
      <c r="AA38" s="77"/>
      <c r="AB38" s="77"/>
      <c r="AC38" s="77"/>
      <c r="AD38" s="530">
        <f>VLOOKUP(Z33,Poele!A:M,5,FALSE())*AB36</f>
        <v>0.40499999999999997</v>
      </c>
      <c r="AE38" s="475"/>
      <c r="AF38" s="302" t="str">
        <f>VLOOKUP(AF33,Four!A:M,4,FALSE())</f>
        <v>Carottes</v>
      </c>
      <c r="AG38" s="77"/>
      <c r="AH38" s="77"/>
      <c r="AI38" s="77"/>
      <c r="AJ38" s="530">
        <f>VLOOKUP(AF33,Four!A:M,5,FALSE())*AH36</f>
        <v>0.54</v>
      </c>
      <c r="AK38" s="475"/>
      <c r="AL38" s="302" t="str">
        <f>VLOOKUP(AL33,Four!A:M,4,FALSE())</f>
        <v>Porc palette</v>
      </c>
      <c r="AM38" s="77"/>
      <c r="AN38" s="77"/>
      <c r="AO38" s="77"/>
      <c r="AP38" s="530">
        <f>VLOOKUP(AL33,Four!A:M,5,FALSE())*AN36</f>
        <v>0.58499999999999996</v>
      </c>
      <c r="AQ38" s="475"/>
      <c r="AR38" s="481" t="s">
        <v>54</v>
      </c>
      <c r="AS38" s="431"/>
      <c r="AT38" s="431"/>
      <c r="AU38" s="431"/>
      <c r="AV38" s="431"/>
      <c r="AW38" s="432"/>
      <c r="AX38" s="481" t="s">
        <v>55</v>
      </c>
      <c r="AY38" s="431"/>
      <c r="AZ38" s="431"/>
      <c r="BA38" s="431"/>
      <c r="BB38" s="531">
        <v>60</v>
      </c>
      <c r="BC38" s="432"/>
      <c r="BD38" s="483" t="s">
        <v>285</v>
      </c>
      <c r="BE38" s="431"/>
      <c r="BF38" s="431"/>
      <c r="BG38" s="431"/>
      <c r="BH38" s="431"/>
      <c r="BI38" s="484"/>
    </row>
    <row r="39" spans="1:61" ht="17.25" customHeight="1">
      <c r="A39" s="291" t="s">
        <v>56</v>
      </c>
      <c r="B39" s="513" t="s">
        <v>158</v>
      </c>
      <c r="C39" s="445"/>
      <c r="D39" s="445"/>
      <c r="E39" s="445"/>
      <c r="F39" s="541">
        <v>0.6</v>
      </c>
      <c r="G39" s="446"/>
      <c r="H39" s="276" t="s">
        <v>23</v>
      </c>
      <c r="I39" s="62">
        <v>7.0000000000000007E-2</v>
      </c>
      <c r="J39" s="63">
        <f>+I39*$C34*$F$9</f>
        <v>4.2</v>
      </c>
      <c r="K39" s="276" t="s">
        <v>24</v>
      </c>
      <c r="L39" s="64">
        <v>4</v>
      </c>
      <c r="M39" s="277">
        <f>L39/($F42*$C35)</f>
        <v>6.835269993164729E-2</v>
      </c>
      <c r="N39" s="304">
        <f>VLOOKUP(N33,Friteuse!A:M,6,FALSE())</f>
        <v>0</v>
      </c>
      <c r="O39" s="79"/>
      <c r="P39" s="79"/>
      <c r="Q39" s="79"/>
      <c r="R39" s="530">
        <f>VLOOKUP(N33,Friteuse!A:M,7,FALSE())*P36</f>
        <v>0</v>
      </c>
      <c r="S39" s="475"/>
      <c r="T39" s="302" t="str">
        <f>VLOOKUP(T33,Wok!A:M,6,FALSE())</f>
        <v>Persillade</v>
      </c>
      <c r="U39" s="77"/>
      <c r="V39" s="77"/>
      <c r="W39" s="77"/>
      <c r="X39" s="530">
        <f>VLOOKUP(T33,Wok!A:M,7,FALSE())*V36</f>
        <v>0.19500000000000001</v>
      </c>
      <c r="Y39" s="475"/>
      <c r="Z39" s="302" t="str">
        <f>VLOOKUP(Z33,Poele!A:M,6,FALSE())</f>
        <v>Piment frais</v>
      </c>
      <c r="AA39" s="77"/>
      <c r="AB39" s="77"/>
      <c r="AC39" s="77"/>
      <c r="AD39" s="530">
        <f>VLOOKUP(Z33,Poele!A:M,7,FALSE())*AB36</f>
        <v>2.6999999999999997E-3</v>
      </c>
      <c r="AE39" s="475"/>
      <c r="AF39" s="302" t="str">
        <f>VLOOKUP(AF33,Four!A:M,6,FALSE())</f>
        <v>Poireaux</v>
      </c>
      <c r="AG39" s="77"/>
      <c r="AH39" s="77"/>
      <c r="AI39" s="77"/>
      <c r="AJ39" s="530">
        <f>VLOOKUP(AF33,Four!A:M,7,FALSE())*AH36</f>
        <v>0.54</v>
      </c>
      <c r="AK39" s="475"/>
      <c r="AL39" s="302" t="str">
        <f>VLOOKUP(AL33,Four!A:M,6,FALSE())</f>
        <v>Poitrine fumée</v>
      </c>
      <c r="AM39" s="77"/>
      <c r="AN39" s="77"/>
      <c r="AO39" s="77"/>
      <c r="AP39" s="530">
        <f>VLOOKUP(AL33,Four!A:M,7,FALSE())*AN36</f>
        <v>0.19500000000000001</v>
      </c>
      <c r="AQ39" s="475"/>
      <c r="AR39" s="276" t="s">
        <v>23</v>
      </c>
      <c r="AS39" s="62">
        <v>0.08</v>
      </c>
      <c r="AT39" s="63">
        <f>+AS39*$C34*$F$9</f>
        <v>4.8</v>
      </c>
      <c r="AU39" s="276" t="s">
        <v>24</v>
      </c>
      <c r="AV39" s="64">
        <v>4</v>
      </c>
      <c r="AW39" s="277">
        <f>AV39/($F42*$C35)</f>
        <v>6.835269993164729E-2</v>
      </c>
      <c r="AX39" s="307" t="s">
        <v>23</v>
      </c>
      <c r="AY39" s="62">
        <v>0.03</v>
      </c>
      <c r="AZ39" s="95">
        <f>AY39*C34*F39/(BB38/1000)</f>
        <v>29.999999999999996</v>
      </c>
      <c r="BA39" s="276" t="s">
        <v>24</v>
      </c>
      <c r="BB39" s="96">
        <v>25</v>
      </c>
      <c r="BC39" s="313">
        <f>(BB39*BB38/1000)/($F42*$C35)</f>
        <v>2.5632262474367735E-2</v>
      </c>
      <c r="BD39" s="276" t="s">
        <v>23</v>
      </c>
      <c r="BE39" s="62">
        <v>7.0000000000000007E-2</v>
      </c>
      <c r="BF39" s="63">
        <f>+BE39*$C34*$F$9</f>
        <v>4.2</v>
      </c>
      <c r="BG39" s="276" t="s">
        <v>24</v>
      </c>
      <c r="BH39" s="64">
        <v>4</v>
      </c>
      <c r="BI39" s="65">
        <f>BH39/($F42*$C35)</f>
        <v>6.835269993164729E-2</v>
      </c>
    </row>
    <row r="40" spans="1:61" ht="17.25" customHeight="1">
      <c r="A40" s="291"/>
      <c r="B40" s="544" t="s">
        <v>178</v>
      </c>
      <c r="C40" s="445"/>
      <c r="D40" s="445"/>
      <c r="E40" s="446"/>
      <c r="F40" s="319">
        <f>(L34+R34+L39+X34+AD34+AJ34+AP34+AV34+AV39+BB34+BB39*(BB38/1000)+BH34+BH39)/C35</f>
        <v>0.61</v>
      </c>
      <c r="G40" s="320">
        <f>F40/(F40+F41)</f>
        <v>0.5324720670391061</v>
      </c>
      <c r="H40" s="70" t="s">
        <v>27</v>
      </c>
      <c r="I40" s="286">
        <v>7.0000000000000007E-2</v>
      </c>
      <c r="J40" s="287">
        <f>+I40*$E34*$F39</f>
        <v>2.1</v>
      </c>
      <c r="K40" s="70" t="s">
        <v>28</v>
      </c>
      <c r="L40" s="288">
        <v>2</v>
      </c>
      <c r="M40" s="289">
        <f>L40/($F42*$E35)</f>
        <v>6.835269993164729E-2</v>
      </c>
      <c r="N40" s="302">
        <f>VLOOKUP(N33,Friteuse!A:M,8,FALSE())</f>
        <v>0</v>
      </c>
      <c r="O40" s="79"/>
      <c r="P40" s="79"/>
      <c r="Q40" s="79"/>
      <c r="R40" s="530">
        <f>VLOOKUP(N33,Friteuse!A:M,9,FALSE())*P36</f>
        <v>0</v>
      </c>
      <c r="S40" s="475"/>
      <c r="T40" s="302" t="str">
        <f>VLOOKUP(T33,Wok!A:M,8,FALSE())</f>
        <v>Vin blanc</v>
      </c>
      <c r="U40" s="77"/>
      <c r="V40" s="77"/>
      <c r="W40" s="77"/>
      <c r="X40" s="530">
        <f>VLOOKUP(T33,Wok!A:M,9,FALSE())*V36</f>
        <v>0.19500000000000001</v>
      </c>
      <c r="Y40" s="475"/>
      <c r="Z40" s="302" t="str">
        <f>VLOOKUP(Z33,Poele!A:M,8,FALSE())</f>
        <v>Tomates</v>
      </c>
      <c r="AA40" s="77"/>
      <c r="AB40" s="77"/>
      <c r="AC40" s="77"/>
      <c r="AD40" s="530">
        <f>VLOOKUP(Z33,Poele!A:M,9,FALSE())*AB36</f>
        <v>0.53999999999999992</v>
      </c>
      <c r="AE40" s="475"/>
      <c r="AF40" s="302" t="str">
        <f>VLOOKUP(AF33,Four!A:M,8,FALSE())</f>
        <v>Celeri</v>
      </c>
      <c r="AG40" s="77"/>
      <c r="AH40" s="77"/>
      <c r="AI40" s="77"/>
      <c r="AJ40" s="530">
        <f>VLOOKUP(AF33,Four!A:M,9,FALSE())*AH36</f>
        <v>0.54</v>
      </c>
      <c r="AK40" s="475"/>
      <c r="AL40" s="302" t="str">
        <f>VLOOKUP(AL33,Four!A:M,8,FALSE())</f>
        <v>Saucisse fumée</v>
      </c>
      <c r="AM40" s="77"/>
      <c r="AN40" s="77"/>
      <c r="AO40" s="77"/>
      <c r="AP40" s="530">
        <f>VLOOKUP(AL33,Four!A:M,9,FALSE())*AN36</f>
        <v>0.624</v>
      </c>
      <c r="AQ40" s="475"/>
      <c r="AR40" s="70" t="s">
        <v>27</v>
      </c>
      <c r="AS40" s="286">
        <v>0.09</v>
      </c>
      <c r="AT40" s="287">
        <f>+AS40*$E34*$F39</f>
        <v>2.6999999999999997</v>
      </c>
      <c r="AU40" s="70" t="s">
        <v>28</v>
      </c>
      <c r="AV40" s="288">
        <v>2</v>
      </c>
      <c r="AW40" s="289">
        <f>AV40/($F42*$E35)</f>
        <v>6.835269993164729E-2</v>
      </c>
      <c r="AX40" s="80" t="s">
        <v>27</v>
      </c>
      <c r="AY40" s="286">
        <v>0.03</v>
      </c>
      <c r="AZ40" s="321">
        <f>AY40*E34*F39/(BB38/1000)</f>
        <v>14.999999999999998</v>
      </c>
      <c r="BA40" s="70" t="s">
        <v>28</v>
      </c>
      <c r="BB40" s="322">
        <v>13</v>
      </c>
      <c r="BC40" s="315">
        <f>(BB40*BB38/1000)/($F42*$E35)</f>
        <v>2.6657552973342446E-2</v>
      </c>
      <c r="BD40" s="70" t="s">
        <v>27</v>
      </c>
      <c r="BE40" s="286">
        <v>7.0000000000000007E-2</v>
      </c>
      <c r="BF40" s="287">
        <f>+BE40*$E34*$F39</f>
        <v>2.1</v>
      </c>
      <c r="BG40" s="70" t="s">
        <v>28</v>
      </c>
      <c r="BH40" s="288">
        <v>2</v>
      </c>
      <c r="BI40" s="290">
        <f>BH40/($F42*$E35)</f>
        <v>6.835269993164729E-2</v>
      </c>
    </row>
    <row r="41" spans="1:61" ht="17.25" customHeight="1">
      <c r="A41" s="291"/>
      <c r="B41" s="447"/>
      <c r="C41" s="434"/>
      <c r="D41" s="434"/>
      <c r="E41" s="435"/>
      <c r="F41" s="323">
        <f>(L35+L40+R35+X35+AD35+AJ35+AP35+AV35+AV40+BB35+BB40*(BB38/1000)+BH40+BH35)/E35</f>
        <v>0.53560000000000008</v>
      </c>
      <c r="G41" s="324">
        <f>F41/(F40+F41)</f>
        <v>0.46752793296089395</v>
      </c>
      <c r="H41" s="298" t="s">
        <v>31</v>
      </c>
      <c r="I41" s="299">
        <f>+J41/$G34</f>
        <v>4.2000000000000003E-2</v>
      </c>
      <c r="J41" s="74">
        <f>SUM(J39:J40)</f>
        <v>6.3000000000000007</v>
      </c>
      <c r="K41" s="75" t="s">
        <v>31</v>
      </c>
      <c r="L41" s="300">
        <f>SUM(L39:L40)</f>
        <v>6</v>
      </c>
      <c r="M41" s="301">
        <f>L41/($F42*$G35)</f>
        <v>6.8352699931647304E-2</v>
      </c>
      <c r="N41" s="302">
        <f>VLOOKUP(N33,Friteuse!A:M,10,FALSE())</f>
        <v>0</v>
      </c>
      <c r="O41" s="78"/>
      <c r="P41" s="78"/>
      <c r="Q41" s="78"/>
      <c r="R41" s="530">
        <f>VLOOKUP(N33,Friteuse!A:M,11,FALSE())*P36</f>
        <v>0</v>
      </c>
      <c r="S41" s="475"/>
      <c r="T41" s="302">
        <f>VLOOKUP(T33,Wok!A:M,10,FALSE())</f>
        <v>0</v>
      </c>
      <c r="U41" s="81"/>
      <c r="V41" s="81"/>
      <c r="W41" s="81"/>
      <c r="X41" s="530">
        <f>VLOOKUP(T33,Wok!A:M,11,FALSE())*V36</f>
        <v>0</v>
      </c>
      <c r="Y41" s="475"/>
      <c r="Z41" s="302" t="str">
        <f>VLOOKUP(Z33,Poele!A:M,10,FALSE())</f>
        <v>Basilic</v>
      </c>
      <c r="AA41" s="81"/>
      <c r="AB41" s="81"/>
      <c r="AC41" s="81"/>
      <c r="AD41" s="530">
        <f>VLOOKUP(Z33,Poele!A:M,11,FALSE())*AB36</f>
        <v>0</v>
      </c>
      <c r="AE41" s="475"/>
      <c r="AF41" s="302" t="str">
        <f>VLOOKUP(AF33,Four!A:M,10,FALSE())</f>
        <v>Champignons</v>
      </c>
      <c r="AG41" s="81"/>
      <c r="AH41" s="81"/>
      <c r="AI41" s="81"/>
      <c r="AJ41" s="530">
        <f>VLOOKUP(AF33,Four!A:M,11,FALSE())*AH36</f>
        <v>0.80999999999999994</v>
      </c>
      <c r="AK41" s="475"/>
      <c r="AL41" s="302" t="str">
        <f>VLOOKUP(AL33,Four!A:M,10,FALSE())</f>
        <v>Carotte</v>
      </c>
      <c r="AM41" s="81"/>
      <c r="AN41" s="81"/>
      <c r="AO41" s="81"/>
      <c r="AP41" s="530">
        <f>VLOOKUP(AL33,Four!A:M,11,FALSE())*AN36</f>
        <v>0.11699999999999999</v>
      </c>
      <c r="AQ41" s="475"/>
      <c r="AR41" s="298" t="s">
        <v>31</v>
      </c>
      <c r="AS41" s="299">
        <f>+AT41/$G34</f>
        <v>0.05</v>
      </c>
      <c r="AT41" s="74">
        <f>SUM(AT39:AT40)</f>
        <v>7.5</v>
      </c>
      <c r="AU41" s="75" t="s">
        <v>31</v>
      </c>
      <c r="AV41" s="300">
        <f>SUM(AV39:AV40)</f>
        <v>6</v>
      </c>
      <c r="AW41" s="301">
        <f>AV41/($F42*$G35)</f>
        <v>6.8352699931647304E-2</v>
      </c>
      <c r="AX41" s="308" t="s">
        <v>31</v>
      </c>
      <c r="AY41" s="299"/>
      <c r="AZ41" s="97">
        <f>SUM(AZ39:AZ40)</f>
        <v>44.999999999999993</v>
      </c>
      <c r="BA41" s="75" t="s">
        <v>31</v>
      </c>
      <c r="BB41" s="325">
        <f>SUM(BB39:BB40)</f>
        <v>38</v>
      </c>
      <c r="BC41" s="295">
        <f>(BB41*BB38/1000)/($F42*$G35)</f>
        <v>2.5974025974025972E-2</v>
      </c>
      <c r="BD41" s="298" t="s">
        <v>31</v>
      </c>
      <c r="BE41" s="299">
        <f>+BF41/$G34</f>
        <v>4.2000000000000003E-2</v>
      </c>
      <c r="BF41" s="74">
        <f>SUM(BF39:BF40)</f>
        <v>6.3000000000000007</v>
      </c>
      <c r="BG41" s="75" t="s">
        <v>31</v>
      </c>
      <c r="BH41" s="300">
        <f>SUM(BH39:BH40)</f>
        <v>6</v>
      </c>
      <c r="BI41" s="76">
        <f>BH41/($F42*$G35)</f>
        <v>6.8352699931647304E-2</v>
      </c>
    </row>
    <row r="42" spans="1:61" ht="17.25" customHeight="1">
      <c r="A42" s="291"/>
      <c r="B42" s="545" t="s">
        <v>159</v>
      </c>
      <c r="C42" s="431"/>
      <c r="D42" s="431"/>
      <c r="E42" s="432"/>
      <c r="F42" s="546">
        <f>(L36+L41+R36+X36+AD36+AJ36+AP36+AV36+AV41+BB41*BB38/1000+BB36+BH36+BH41)/G35</f>
        <v>0.58520000000000005</v>
      </c>
      <c r="G42" s="435"/>
      <c r="H42" s="302" t="str">
        <f>VLOOKUP(H38,Plancha2!A:M,2,FALSE())</f>
        <v>Ingr1</v>
      </c>
      <c r="I42" s="82"/>
      <c r="J42" s="78"/>
      <c r="K42" s="78"/>
      <c r="L42" s="529">
        <f>J41</f>
        <v>6.3000000000000007</v>
      </c>
      <c r="M42" s="475"/>
      <c r="N42" s="302">
        <f>VLOOKUP(N33,Friteuse!A:M,12,FALSE())</f>
        <v>0</v>
      </c>
      <c r="O42" s="306"/>
      <c r="P42" s="306"/>
      <c r="Q42" s="306"/>
      <c r="R42" s="542">
        <f>VLOOKUP(N33,Friteuse!A:M,13,FALSE())*P36</f>
        <v>0</v>
      </c>
      <c r="S42" s="435"/>
      <c r="T42" s="302">
        <f>VLOOKUP(T33,Wok!A:M,12,FALSE())</f>
        <v>0</v>
      </c>
      <c r="U42" s="309"/>
      <c r="V42" s="309"/>
      <c r="W42" s="309"/>
      <c r="X42" s="542">
        <f>VLOOKUP(T33,Wok!A:M,13,FALSE())*V36</f>
        <v>0</v>
      </c>
      <c r="Y42" s="435"/>
      <c r="Z42" s="302" t="str">
        <f>VLOOKUP(Z33,Poele!A:M,12,FALSE())</f>
        <v>Sauce soja</v>
      </c>
      <c r="AA42" s="309"/>
      <c r="AB42" s="309"/>
      <c r="AC42" s="309"/>
      <c r="AD42" s="542">
        <f>VLOOKUP(Z33,Poele!A:M,13,FALSE())*AB36</f>
        <v>0</v>
      </c>
      <c r="AE42" s="435"/>
      <c r="AF42" s="302" t="str">
        <f>VLOOKUP(AF33,Four!A:M,12,FALSE())</f>
        <v>Oignons</v>
      </c>
      <c r="AG42" s="309"/>
      <c r="AH42" s="309"/>
      <c r="AI42" s="309"/>
      <c r="AJ42" s="542">
        <f>VLOOKUP(AF33,Four!A:M,13,FALSE())*AH36</f>
        <v>0.54</v>
      </c>
      <c r="AK42" s="435"/>
      <c r="AL42" s="302" t="str">
        <f>VLOOKUP(AL33,Four!A:M,12,FALSE())</f>
        <v>Navet</v>
      </c>
      <c r="AM42" s="309"/>
      <c r="AN42" s="309"/>
      <c r="AO42" s="309"/>
      <c r="AP42" s="542">
        <f>VLOOKUP(AL33,Four!A:M,13,FALSE())*AN36</f>
        <v>0.156</v>
      </c>
      <c r="AQ42" s="435"/>
      <c r="AR42" s="310" t="s">
        <v>74</v>
      </c>
      <c r="AS42" s="82"/>
      <c r="AT42" s="78"/>
      <c r="AU42" s="78"/>
      <c r="AV42" s="529">
        <f>AT41</f>
        <v>7.5</v>
      </c>
      <c r="AW42" s="475"/>
      <c r="AX42" s="538" t="s">
        <v>75</v>
      </c>
      <c r="AY42" s="461"/>
      <c r="AZ42" s="461"/>
      <c r="BA42" s="311"/>
      <c r="BB42" s="529">
        <f>AZ41*(BB38/1000)</f>
        <v>2.6999999999999993</v>
      </c>
      <c r="BC42" s="475"/>
      <c r="BD42" s="543" t="s">
        <v>115</v>
      </c>
      <c r="BE42" s="461"/>
      <c r="BF42" s="461"/>
      <c r="BG42" s="311"/>
      <c r="BH42" s="529">
        <f>BF41</f>
        <v>6.3000000000000007</v>
      </c>
      <c r="BI42" s="503"/>
    </row>
    <row r="43" spans="1:61" ht="17.25" customHeight="1">
      <c r="A43" s="55">
        <f>A33+1</f>
        <v>45316</v>
      </c>
      <c r="B43" s="547" t="s">
        <v>8</v>
      </c>
      <c r="C43" s="432"/>
      <c r="D43" s="547" t="s">
        <v>9</v>
      </c>
      <c r="E43" s="432"/>
      <c r="F43" s="317" t="s">
        <v>10</v>
      </c>
      <c r="G43" s="318"/>
      <c r="H43" s="521" t="s">
        <v>149</v>
      </c>
      <c r="I43" s="431" t="s">
        <v>149</v>
      </c>
      <c r="J43" s="431" t="s">
        <v>149</v>
      </c>
      <c r="K43" s="431" t="s">
        <v>149</v>
      </c>
      <c r="L43" s="431" t="s">
        <v>149</v>
      </c>
      <c r="M43" s="432" t="s">
        <v>149</v>
      </c>
      <c r="N43" s="522" t="s">
        <v>192</v>
      </c>
      <c r="O43" s="431" t="s">
        <v>192</v>
      </c>
      <c r="P43" s="431" t="s">
        <v>192</v>
      </c>
      <c r="Q43" s="431" t="s">
        <v>192</v>
      </c>
      <c r="R43" s="431" t="s">
        <v>192</v>
      </c>
      <c r="S43" s="432" t="s">
        <v>192</v>
      </c>
      <c r="T43" s="523" t="s">
        <v>195</v>
      </c>
      <c r="U43" s="431" t="s">
        <v>195</v>
      </c>
      <c r="V43" s="431" t="s">
        <v>195</v>
      </c>
      <c r="W43" s="431" t="s">
        <v>195</v>
      </c>
      <c r="X43" s="431" t="s">
        <v>195</v>
      </c>
      <c r="Y43" s="432" t="s">
        <v>195</v>
      </c>
      <c r="Z43" s="523" t="s">
        <v>168</v>
      </c>
      <c r="AA43" s="431" t="s">
        <v>168</v>
      </c>
      <c r="AB43" s="431" t="s">
        <v>168</v>
      </c>
      <c r="AC43" s="431" t="s">
        <v>168</v>
      </c>
      <c r="AD43" s="431" t="s">
        <v>168</v>
      </c>
      <c r="AE43" s="432" t="s">
        <v>168</v>
      </c>
      <c r="AF43" s="519" t="s">
        <v>277</v>
      </c>
      <c r="AG43" s="431"/>
      <c r="AH43" s="431"/>
      <c r="AI43" s="431"/>
      <c r="AJ43" s="431"/>
      <c r="AK43" s="432"/>
      <c r="AL43" s="519" t="s">
        <v>284</v>
      </c>
      <c r="AM43" s="431" t="s">
        <v>284</v>
      </c>
      <c r="AN43" s="431" t="s">
        <v>284</v>
      </c>
      <c r="AO43" s="431" t="s">
        <v>284</v>
      </c>
      <c r="AP43" s="431" t="s">
        <v>284</v>
      </c>
      <c r="AQ43" s="432" t="s">
        <v>284</v>
      </c>
      <c r="AR43" s="481" t="s">
        <v>18</v>
      </c>
      <c r="AS43" s="431"/>
      <c r="AT43" s="431"/>
      <c r="AU43" s="431"/>
      <c r="AV43" s="431"/>
      <c r="AW43" s="432"/>
      <c r="AX43" s="482" t="s">
        <v>154</v>
      </c>
      <c r="AY43" s="434"/>
      <c r="AZ43" s="434"/>
      <c r="BA43" s="434"/>
      <c r="BB43" s="434"/>
      <c r="BC43" s="435"/>
      <c r="BD43" s="483" t="s">
        <v>155</v>
      </c>
      <c r="BE43" s="431"/>
      <c r="BF43" s="431"/>
      <c r="BG43" s="431"/>
      <c r="BH43" s="431"/>
      <c r="BI43" s="484"/>
    </row>
    <row r="44" spans="1:61" ht="17.25" customHeight="1">
      <c r="A44" s="269"/>
      <c r="B44" s="270" t="s">
        <v>22</v>
      </c>
      <c r="C44" s="271">
        <v>100</v>
      </c>
      <c r="D44" s="270" t="s">
        <v>22</v>
      </c>
      <c r="E44" s="272">
        <v>50</v>
      </c>
      <c r="F44" s="270" t="s">
        <v>22</v>
      </c>
      <c r="G44" s="56">
        <f t="shared" ref="G44:G45" si="4">+C44+E44</f>
        <v>150</v>
      </c>
      <c r="H44" s="276" t="s">
        <v>23</v>
      </c>
      <c r="I44" s="62">
        <v>0.05</v>
      </c>
      <c r="J44" s="63">
        <f>+I44*$C44*$F49</f>
        <v>3</v>
      </c>
      <c r="K44" s="276" t="s">
        <v>24</v>
      </c>
      <c r="L44" s="64">
        <v>3</v>
      </c>
      <c r="M44" s="277">
        <f>L44/($F52*$C45)</f>
        <v>5.1264524948735471E-2</v>
      </c>
      <c r="N44" s="273" t="s">
        <v>23</v>
      </c>
      <c r="O44" s="57">
        <v>0.01</v>
      </c>
      <c r="P44" s="58">
        <f>+O44*$C44*$F49</f>
        <v>0.6</v>
      </c>
      <c r="Q44" s="273" t="s">
        <v>24</v>
      </c>
      <c r="R44" s="84">
        <v>0.5</v>
      </c>
      <c r="S44" s="313">
        <f>R44/($F52*$C45)</f>
        <v>8.5440874914559112E-3</v>
      </c>
      <c r="T44" s="274" t="s">
        <v>23</v>
      </c>
      <c r="U44" s="60">
        <v>0.05</v>
      </c>
      <c r="V44" s="61">
        <f>+U44*$C44*$F49</f>
        <v>3</v>
      </c>
      <c r="W44" s="274" t="s">
        <v>24</v>
      </c>
      <c r="X44" s="59">
        <v>3</v>
      </c>
      <c r="Y44" s="275">
        <f>X44/($F52*$C45)</f>
        <v>5.1264524948735471E-2</v>
      </c>
      <c r="Z44" s="274" t="s">
        <v>23</v>
      </c>
      <c r="AA44" s="60">
        <v>0.03</v>
      </c>
      <c r="AB44" s="61">
        <f>+AA44*$C44*$F49</f>
        <v>1.7999999999999998</v>
      </c>
      <c r="AC44" s="274" t="s">
        <v>24</v>
      </c>
      <c r="AD44" s="59">
        <v>2</v>
      </c>
      <c r="AE44" s="275">
        <f>AD44/($F52*$C45)</f>
        <v>3.4176349965823645E-2</v>
      </c>
      <c r="AF44" s="274" t="s">
        <v>23</v>
      </c>
      <c r="AG44" s="60">
        <v>0.1</v>
      </c>
      <c r="AH44" s="61">
        <f>+AG44*$C44*$F49</f>
        <v>6</v>
      </c>
      <c r="AI44" s="274" t="s">
        <v>24</v>
      </c>
      <c r="AJ44" s="59">
        <v>6</v>
      </c>
      <c r="AK44" s="275">
        <f>AJ44/($F52*$C45)</f>
        <v>0.10252904989747094</v>
      </c>
      <c r="AL44" s="274" t="s">
        <v>23</v>
      </c>
      <c r="AM44" s="60">
        <v>0.05</v>
      </c>
      <c r="AN44" s="61">
        <f>+AM44*$C44*$F49</f>
        <v>3</v>
      </c>
      <c r="AO44" s="274" t="s">
        <v>24</v>
      </c>
      <c r="AP44" s="59">
        <v>3</v>
      </c>
      <c r="AQ44" s="275">
        <f>AP44/($F52*$C45)</f>
        <v>5.1264524948735471E-2</v>
      </c>
      <c r="AR44" s="276" t="s">
        <v>23</v>
      </c>
      <c r="AS44" s="62">
        <v>0.08</v>
      </c>
      <c r="AT44" s="63">
        <f>+AS44*$C44*$F49</f>
        <v>4.8</v>
      </c>
      <c r="AU44" s="276" t="s">
        <v>24</v>
      </c>
      <c r="AV44" s="64">
        <v>4</v>
      </c>
      <c r="AW44" s="277">
        <f>AV44/($F52*$C45)</f>
        <v>6.835269993164729E-2</v>
      </c>
      <c r="AX44" s="276" t="s">
        <v>23</v>
      </c>
      <c r="AY44" s="62">
        <v>0.43</v>
      </c>
      <c r="AZ44" s="63">
        <f>+AY44*$C44*$F49</f>
        <v>25.8</v>
      </c>
      <c r="BA44" s="276" t="s">
        <v>24</v>
      </c>
      <c r="BB44" s="64">
        <v>25</v>
      </c>
      <c r="BC44" s="277">
        <f>BB44/($F52*$C45)</f>
        <v>0.42720437457279559</v>
      </c>
      <c r="BD44" s="276" t="s">
        <v>23</v>
      </c>
      <c r="BE44" s="62">
        <v>0.02</v>
      </c>
      <c r="BF44" s="63">
        <f>+BE44*$C44*$F49</f>
        <v>1.2</v>
      </c>
      <c r="BG44" s="276" t="s">
        <v>24</v>
      </c>
      <c r="BH44" s="64">
        <v>1</v>
      </c>
      <c r="BI44" s="65">
        <f>BH44/($F52*$C45)</f>
        <v>1.7088174982911822E-2</v>
      </c>
    </row>
    <row r="45" spans="1:61" ht="17.25" customHeight="1">
      <c r="A45" s="278" t="s">
        <v>123</v>
      </c>
      <c r="B45" s="266" t="s">
        <v>26</v>
      </c>
      <c r="C45" s="66">
        <v>100</v>
      </c>
      <c r="D45" s="266" t="s">
        <v>26</v>
      </c>
      <c r="E45" s="67">
        <v>50</v>
      </c>
      <c r="F45" s="266" t="s">
        <v>26</v>
      </c>
      <c r="G45" s="279">
        <f t="shared" si="4"/>
        <v>150</v>
      </c>
      <c r="H45" s="70" t="s">
        <v>27</v>
      </c>
      <c r="I45" s="286">
        <v>0.03</v>
      </c>
      <c r="J45" s="287">
        <f>+I45*$E44*$F49</f>
        <v>0.89999999999999991</v>
      </c>
      <c r="K45" s="70" t="s">
        <v>28</v>
      </c>
      <c r="L45" s="288">
        <v>1</v>
      </c>
      <c r="M45" s="289">
        <f>L45/($F52*$E45)</f>
        <v>3.4176349965823645E-2</v>
      </c>
      <c r="N45" s="68" t="s">
        <v>27</v>
      </c>
      <c r="O45" s="280">
        <v>0.02</v>
      </c>
      <c r="P45" s="281">
        <f>+O45*$E44*$F49</f>
        <v>0.6</v>
      </c>
      <c r="Q45" s="68" t="s">
        <v>28</v>
      </c>
      <c r="R45" s="314">
        <v>0.5</v>
      </c>
      <c r="S45" s="315">
        <f>R45/($F52*$E45)</f>
        <v>1.7088174982911822E-2</v>
      </c>
      <c r="T45" s="69" t="s">
        <v>27</v>
      </c>
      <c r="U45" s="284">
        <v>0.03</v>
      </c>
      <c r="V45" s="285">
        <f>+U45*$E44*$F49</f>
        <v>0.89999999999999991</v>
      </c>
      <c r="W45" s="69" t="s">
        <v>28</v>
      </c>
      <c r="X45" s="282">
        <v>1</v>
      </c>
      <c r="Y45" s="283">
        <f>X45/($F52*$E45)</f>
        <v>3.4176349965823645E-2</v>
      </c>
      <c r="Z45" s="69" t="s">
        <v>27</v>
      </c>
      <c r="AA45" s="284">
        <v>0.03</v>
      </c>
      <c r="AB45" s="285">
        <f>+AA45*$E44*$F49</f>
        <v>0.89999999999999991</v>
      </c>
      <c r="AC45" s="69" t="s">
        <v>28</v>
      </c>
      <c r="AD45" s="282">
        <v>1</v>
      </c>
      <c r="AE45" s="283">
        <f>AD45/($F52*$E45)</f>
        <v>3.4176349965823645E-2</v>
      </c>
      <c r="AF45" s="69" t="s">
        <v>27</v>
      </c>
      <c r="AG45" s="284">
        <v>0.1</v>
      </c>
      <c r="AH45" s="285">
        <f>+AG45*$E44*$F49</f>
        <v>3</v>
      </c>
      <c r="AI45" s="69" t="s">
        <v>28</v>
      </c>
      <c r="AJ45" s="282">
        <v>3</v>
      </c>
      <c r="AK45" s="283">
        <f>AJ45/($F52*$E45)</f>
        <v>0.10252904989747094</v>
      </c>
      <c r="AL45" s="69" t="s">
        <v>27</v>
      </c>
      <c r="AM45" s="284">
        <v>0.03</v>
      </c>
      <c r="AN45" s="285">
        <f>+AM45*$E44*$F49</f>
        <v>0.89999999999999991</v>
      </c>
      <c r="AO45" s="69" t="s">
        <v>28</v>
      </c>
      <c r="AP45" s="282">
        <v>1</v>
      </c>
      <c r="AQ45" s="283">
        <f>AP45/($F52*$E45)</f>
        <v>3.4176349965823645E-2</v>
      </c>
      <c r="AR45" s="70" t="s">
        <v>27</v>
      </c>
      <c r="AS45" s="286">
        <v>0.09</v>
      </c>
      <c r="AT45" s="287">
        <f>+AS45*$E44*$F49</f>
        <v>2.6999999999999997</v>
      </c>
      <c r="AU45" s="70" t="s">
        <v>28</v>
      </c>
      <c r="AV45" s="288">
        <v>2</v>
      </c>
      <c r="AW45" s="289">
        <f>AV45/($F52*$E45)</f>
        <v>6.835269993164729E-2</v>
      </c>
      <c r="AX45" s="70" t="s">
        <v>27</v>
      </c>
      <c r="AY45" s="286">
        <v>0.34</v>
      </c>
      <c r="AZ45" s="287">
        <f>+AY45*$E44*$F49</f>
        <v>10.199999999999999</v>
      </c>
      <c r="BA45" s="70" t="s">
        <v>28</v>
      </c>
      <c r="BB45" s="288">
        <v>10</v>
      </c>
      <c r="BC45" s="289">
        <f>BB45/($F52*$E45)</f>
        <v>0.34176349965823649</v>
      </c>
      <c r="BD45" s="70" t="s">
        <v>27</v>
      </c>
      <c r="BE45" s="286">
        <v>0.02</v>
      </c>
      <c r="BF45" s="287">
        <f>+BE45*$E44*$F49</f>
        <v>0.6</v>
      </c>
      <c r="BG45" s="70" t="s">
        <v>28</v>
      </c>
      <c r="BH45" s="288">
        <v>0.5</v>
      </c>
      <c r="BI45" s="290">
        <f>BH45/($F52*$E45)</f>
        <v>1.7088174982911822E-2</v>
      </c>
    </row>
    <row r="46" spans="1:61" ht="17.25" customHeight="1">
      <c r="A46" s="291" t="s">
        <v>94</v>
      </c>
      <c r="B46" s="532" t="s">
        <v>30</v>
      </c>
      <c r="C46" s="454"/>
      <c r="D46" s="455"/>
      <c r="E46" s="533">
        <f>(I44+O44+U44+AA44+AG44+AM44+AS44+AY44+BE44+BE49+AY49+AS49+I49)/2</f>
        <v>0.53500000000000014</v>
      </c>
      <c r="F46" s="457"/>
      <c r="G46" s="534">
        <f>(E46+E47)</f>
        <v>1.0100000000000002</v>
      </c>
      <c r="H46" s="298" t="s">
        <v>31</v>
      </c>
      <c r="I46" s="299">
        <f>+J46/$G44</f>
        <v>2.5999999999999999E-2</v>
      </c>
      <c r="J46" s="74">
        <f>SUM(J44:J45)</f>
        <v>3.9</v>
      </c>
      <c r="K46" s="75" t="s">
        <v>31</v>
      </c>
      <c r="L46" s="300">
        <f>SUM(L44:L45)</f>
        <v>4</v>
      </c>
      <c r="M46" s="301">
        <f>L46/($F52*$G45)</f>
        <v>4.5568466621098203E-2</v>
      </c>
      <c r="N46" s="292" t="s">
        <v>31</v>
      </c>
      <c r="O46" s="293">
        <f>+P46/$G44</f>
        <v>8.0000000000000002E-3</v>
      </c>
      <c r="P46" s="71">
        <f>SUM(P44:P45)</f>
        <v>1.2</v>
      </c>
      <c r="Q46" s="85" t="s">
        <v>31</v>
      </c>
      <c r="R46" s="316">
        <f>SUM(R44:R45)</f>
        <v>1</v>
      </c>
      <c r="S46" s="295">
        <f>R46/($F52*$G45)</f>
        <v>1.1392116655274551E-2</v>
      </c>
      <c r="T46" s="296" t="s">
        <v>31</v>
      </c>
      <c r="U46" s="297">
        <f>+V46/$G44</f>
        <v>2.5999999999999999E-2</v>
      </c>
      <c r="V46" s="73">
        <f>SUM(V44:V45)</f>
        <v>3.9</v>
      </c>
      <c r="W46" s="72" t="s">
        <v>31</v>
      </c>
      <c r="X46" s="294">
        <f>SUM(X44:X45)</f>
        <v>4</v>
      </c>
      <c r="Y46" s="295">
        <f>X46/($F52*$G45)</f>
        <v>4.5568466621098203E-2</v>
      </c>
      <c r="Z46" s="296" t="s">
        <v>31</v>
      </c>
      <c r="AA46" s="297">
        <f>+AB46/$G44</f>
        <v>1.7999999999999999E-2</v>
      </c>
      <c r="AB46" s="73">
        <f>SUM(AB44:AB45)</f>
        <v>2.6999999999999997</v>
      </c>
      <c r="AC46" s="72" t="s">
        <v>31</v>
      </c>
      <c r="AD46" s="294">
        <f>SUM(AD44:AD45)</f>
        <v>3</v>
      </c>
      <c r="AE46" s="295">
        <f>AD46/($F52*$G45)</f>
        <v>3.4176349965823652E-2</v>
      </c>
      <c r="AF46" s="296" t="s">
        <v>31</v>
      </c>
      <c r="AG46" s="297">
        <f>+AH46/$G44</f>
        <v>0.06</v>
      </c>
      <c r="AH46" s="73">
        <f>SUM(AH44:AH45)</f>
        <v>9</v>
      </c>
      <c r="AI46" s="72" t="s">
        <v>31</v>
      </c>
      <c r="AJ46" s="294">
        <f>SUM(AJ44:AJ45)</f>
        <v>9</v>
      </c>
      <c r="AK46" s="295">
        <f>AJ46/($F52*$G45)</f>
        <v>0.10252904989747094</v>
      </c>
      <c r="AL46" s="296" t="s">
        <v>31</v>
      </c>
      <c r="AM46" s="297">
        <f>+AN46/$G44</f>
        <v>2.5999999999999999E-2</v>
      </c>
      <c r="AN46" s="73">
        <f>SUM(AN44:AN45)</f>
        <v>3.9</v>
      </c>
      <c r="AO46" s="72" t="s">
        <v>31</v>
      </c>
      <c r="AP46" s="294">
        <f>SUM(AP44:AP45)</f>
        <v>4</v>
      </c>
      <c r="AQ46" s="295">
        <f>AP46/($F52*$G45)</f>
        <v>4.5568466621098203E-2</v>
      </c>
      <c r="AR46" s="298" t="s">
        <v>31</v>
      </c>
      <c r="AS46" s="299">
        <f>+AT46/$G44</f>
        <v>0.05</v>
      </c>
      <c r="AT46" s="74">
        <f>SUM(AT44:AT45)</f>
        <v>7.5</v>
      </c>
      <c r="AU46" s="75" t="s">
        <v>31</v>
      </c>
      <c r="AV46" s="300">
        <f>SUM(AV44:AV45)</f>
        <v>6</v>
      </c>
      <c r="AW46" s="301">
        <f>AV46/($F52*$G45)</f>
        <v>6.8352699931647304E-2</v>
      </c>
      <c r="AX46" s="298" t="s">
        <v>31</v>
      </c>
      <c r="AY46" s="299">
        <f>+AZ46/$G44</f>
        <v>0.24</v>
      </c>
      <c r="AZ46" s="74">
        <f>SUM(AZ44:AZ45)</f>
        <v>36</v>
      </c>
      <c r="BA46" s="75" t="s">
        <v>31</v>
      </c>
      <c r="BB46" s="300">
        <f>SUM(BB44:BB45)</f>
        <v>35</v>
      </c>
      <c r="BC46" s="301">
        <f>BB46/($F52*$G45)</f>
        <v>0.39872408293460926</v>
      </c>
      <c r="BD46" s="298" t="s">
        <v>31</v>
      </c>
      <c r="BE46" s="299">
        <f>+BF46/$G44</f>
        <v>1.1999999999999999E-2</v>
      </c>
      <c r="BF46" s="74">
        <f>SUM(BF44:BF45)</f>
        <v>1.7999999999999998</v>
      </c>
      <c r="BG46" s="75" t="s">
        <v>31</v>
      </c>
      <c r="BH46" s="300">
        <f>SUM(BH44:BH45)</f>
        <v>1.5</v>
      </c>
      <c r="BI46" s="76">
        <f>BH46/($F52*$G45)</f>
        <v>1.7088174982911826E-2</v>
      </c>
    </row>
    <row r="47" spans="1:61" ht="17.25" customHeight="1">
      <c r="A47" s="86" t="s">
        <v>33</v>
      </c>
      <c r="B47" s="535" t="s">
        <v>34</v>
      </c>
      <c r="C47" s="461"/>
      <c r="D47" s="462"/>
      <c r="E47" s="536">
        <f>(I45+O45+U45+AA45+AG45+AM45+AS45+AY45+BE45+AS50+AY50+BE50+I50)/2</f>
        <v>0.47500000000000009</v>
      </c>
      <c r="F47" s="464"/>
      <c r="G47" s="459"/>
      <c r="H47" s="537" t="str">
        <f>VLOOKUP(H43,Plancha2!A:M,2,FALSE())</f>
        <v>Poisson</v>
      </c>
      <c r="I47" s="474"/>
      <c r="J47" s="474"/>
      <c r="K47" s="306"/>
      <c r="L47" s="529">
        <f>J46</f>
        <v>3.9</v>
      </c>
      <c r="M47" s="475"/>
      <c r="N47" s="304" t="str">
        <f>VLOOKUP(N43,Friteuse!A:M,2,FALSE())</f>
        <v>Oeuf</v>
      </c>
      <c r="O47" s="305"/>
      <c r="P47" s="305"/>
      <c r="Q47" s="77"/>
      <c r="R47" s="529">
        <f>VLOOKUP(N43,Friteuse!A:M,3,FALSE())*P46</f>
        <v>0.24</v>
      </c>
      <c r="S47" s="475"/>
      <c r="T47" s="302" t="str">
        <f>VLOOKUP(T43,Wok!A:M,2,FALSE())</f>
        <v>Nouille</v>
      </c>
      <c r="U47" s="303"/>
      <c r="V47" s="303"/>
      <c r="W47" s="77"/>
      <c r="X47" s="529">
        <f>VLOOKUP(T43,Wok!A:M,3,FALSE())*V46</f>
        <v>0.624</v>
      </c>
      <c r="Y47" s="475"/>
      <c r="Z47" s="302" t="str">
        <f>VLOOKUP(Z43,Poele!A:M,2,FALSE())</f>
        <v>Poulet</v>
      </c>
      <c r="AA47" s="303"/>
      <c r="AB47" s="303"/>
      <c r="AC47" s="77"/>
      <c r="AD47" s="529">
        <f>VLOOKUP(Z43,Poele!A:M,3,FALSE())*AB46</f>
        <v>1.0799999999999998</v>
      </c>
      <c r="AE47" s="475"/>
      <c r="AF47" s="302" t="str">
        <f>VLOOKUP(AF43,Four!A:M,2,FALSE())</f>
        <v>Dinde sauté</v>
      </c>
      <c r="AG47" s="303"/>
      <c r="AH47" s="303"/>
      <c r="AI47" s="77"/>
      <c r="AJ47" s="529">
        <f>VLOOKUP(AF43,Four!A:M,3,FALSE())*AH46</f>
        <v>6.03</v>
      </c>
      <c r="AK47" s="475"/>
      <c r="AL47" s="302" t="str">
        <f>VLOOKUP(AL43,Four!A:M,2,FALSE())</f>
        <v>Chou vert</v>
      </c>
      <c r="AM47" s="303"/>
      <c r="AN47" s="303"/>
      <c r="AO47" s="77"/>
      <c r="AP47" s="529">
        <f>VLOOKUP(AL43,Four!A:M,3,FALSE())*AN46</f>
        <v>2.2229999999999999</v>
      </c>
      <c r="AQ47" s="475"/>
      <c r="AR47" s="538" t="s">
        <v>42</v>
      </c>
      <c r="AS47" s="461"/>
      <c r="AT47" s="461"/>
      <c r="AU47" s="306"/>
      <c r="AV47" s="529">
        <f>AT46</f>
        <v>7.5</v>
      </c>
      <c r="AW47" s="475"/>
      <c r="AX47" s="528" t="s">
        <v>156</v>
      </c>
      <c r="AY47" s="471"/>
      <c r="AZ47" s="471"/>
      <c r="BA47" s="78"/>
      <c r="BB47" s="529">
        <f>AZ46</f>
        <v>36</v>
      </c>
      <c r="BC47" s="475"/>
      <c r="BD47" s="528" t="s">
        <v>157</v>
      </c>
      <c r="BE47" s="471"/>
      <c r="BF47" s="471"/>
      <c r="BG47" s="78"/>
      <c r="BH47" s="529">
        <f>BF46</f>
        <v>1.7999999999999998</v>
      </c>
      <c r="BI47" s="503"/>
    </row>
    <row r="48" spans="1:61" ht="17.25" customHeight="1">
      <c r="A48" s="86" t="s">
        <v>45</v>
      </c>
      <c r="B48" s="539" t="s">
        <v>46</v>
      </c>
      <c r="C48" s="445"/>
      <c r="D48" s="517"/>
      <c r="E48" s="540">
        <f>(L46+R46+X46+AD46+AJ46+AP46+AV46+BB46+BH46+BH51+(BB51*BB48/1000)+L51+AV51)/(G45*F52)</f>
        <v>1</v>
      </c>
      <c r="F48" s="474"/>
      <c r="G48" s="475"/>
      <c r="H48" s="521" t="s">
        <v>160</v>
      </c>
      <c r="I48" s="431"/>
      <c r="J48" s="431"/>
      <c r="K48" s="431"/>
      <c r="L48" s="431"/>
      <c r="M48" s="432"/>
      <c r="N48" s="304" t="str">
        <f>VLOOKUP(N43,Friteuse!A:M,4,FALSE())</f>
        <v>Carotte</v>
      </c>
      <c r="O48" s="79"/>
      <c r="P48" s="79"/>
      <c r="Q48" s="79"/>
      <c r="R48" s="530">
        <f>VLOOKUP(N43,Friteuse!A:M,5,FALSE())*P46</f>
        <v>0.54</v>
      </c>
      <c r="S48" s="475"/>
      <c r="T48" s="302" t="str">
        <f>VLOOKUP(T43,Wok!A:M,4,FALSE())</f>
        <v>Poivron vert/rouge</v>
      </c>
      <c r="U48" s="77"/>
      <c r="V48" s="77"/>
      <c r="W48" s="77"/>
      <c r="X48" s="530">
        <f>VLOOKUP(T43,Wok!A:M,5,FALSE())*V46</f>
        <v>0.97499999999999998</v>
      </c>
      <c r="Y48" s="475"/>
      <c r="Z48" s="302" t="str">
        <f>VLOOKUP(Z43,Poele!A:M,4,FALSE())</f>
        <v>Poivron</v>
      </c>
      <c r="AA48" s="77"/>
      <c r="AB48" s="77"/>
      <c r="AC48" s="77"/>
      <c r="AD48" s="530">
        <f>VLOOKUP(Z43,Poele!A:M,5,FALSE())*AB46</f>
        <v>0.67499999999999993</v>
      </c>
      <c r="AE48" s="475"/>
      <c r="AF48" s="302" t="str">
        <f>VLOOKUP(AF43,Four!A:M,4,FALSE())</f>
        <v>Carottes</v>
      </c>
      <c r="AG48" s="77"/>
      <c r="AH48" s="77"/>
      <c r="AI48" s="77"/>
      <c r="AJ48" s="530">
        <f>VLOOKUP(AF43,Four!A:M,5,FALSE())*AH46</f>
        <v>0.54</v>
      </c>
      <c r="AK48" s="475"/>
      <c r="AL48" s="302" t="str">
        <f>VLOOKUP(AL43,Four!A:M,4,FALSE())</f>
        <v>Porc palette</v>
      </c>
      <c r="AM48" s="77"/>
      <c r="AN48" s="77"/>
      <c r="AO48" s="77"/>
      <c r="AP48" s="530">
        <f>VLOOKUP(AL43,Four!A:M,5,FALSE())*AN46</f>
        <v>0.58499999999999996</v>
      </c>
      <c r="AQ48" s="475"/>
      <c r="AR48" s="481" t="s">
        <v>54</v>
      </c>
      <c r="AS48" s="431"/>
      <c r="AT48" s="431"/>
      <c r="AU48" s="431"/>
      <c r="AV48" s="431"/>
      <c r="AW48" s="432"/>
      <c r="AX48" s="481" t="s">
        <v>55</v>
      </c>
      <c r="AY48" s="431"/>
      <c r="AZ48" s="431"/>
      <c r="BA48" s="431"/>
      <c r="BB48" s="531">
        <v>60</v>
      </c>
      <c r="BC48" s="432"/>
      <c r="BD48" s="483" t="s">
        <v>285</v>
      </c>
      <c r="BE48" s="431"/>
      <c r="BF48" s="431"/>
      <c r="BG48" s="431"/>
      <c r="BH48" s="431"/>
      <c r="BI48" s="484"/>
    </row>
    <row r="49" spans="1:61" ht="17.25" customHeight="1">
      <c r="A49" s="86" t="s">
        <v>81</v>
      </c>
      <c r="B49" s="513" t="s">
        <v>158</v>
      </c>
      <c r="C49" s="445"/>
      <c r="D49" s="445"/>
      <c r="E49" s="445"/>
      <c r="F49" s="541">
        <v>0.6</v>
      </c>
      <c r="G49" s="446"/>
      <c r="H49" s="276" t="s">
        <v>23</v>
      </c>
      <c r="I49" s="62">
        <v>7.0000000000000007E-2</v>
      </c>
      <c r="J49" s="63">
        <f>+I49*$C44*$F$9</f>
        <v>4.2</v>
      </c>
      <c r="K49" s="276" t="s">
        <v>24</v>
      </c>
      <c r="L49" s="64">
        <v>4</v>
      </c>
      <c r="M49" s="277">
        <f>L49/($F52*$C45)</f>
        <v>6.835269993164729E-2</v>
      </c>
      <c r="N49" s="304" t="str">
        <f>VLOOKUP(N43,Friteuse!A:M,6,FALSE())</f>
        <v>Farine</v>
      </c>
      <c r="O49" s="79"/>
      <c r="P49" s="79"/>
      <c r="Q49" s="79"/>
      <c r="R49" s="530">
        <f>VLOOKUP(N43,Friteuse!A:M,7,FALSE())*P46</f>
        <v>0.36</v>
      </c>
      <c r="S49" s="475"/>
      <c r="T49" s="302" t="str">
        <f>VLOOKUP(T43,Wok!A:M,6,FALSE())</f>
        <v>Pois gourmand</v>
      </c>
      <c r="U49" s="77"/>
      <c r="V49" s="77"/>
      <c r="W49" s="77"/>
      <c r="X49" s="530">
        <f>VLOOKUP(T43,Wok!A:M,7,FALSE())*V46</f>
        <v>0.50700000000000001</v>
      </c>
      <c r="Y49" s="475"/>
      <c r="Z49" s="302" t="str">
        <f>VLOOKUP(Z43,Poele!A:M,6,FALSE())</f>
        <v>Oignon</v>
      </c>
      <c r="AA49" s="77"/>
      <c r="AB49" s="77"/>
      <c r="AC49" s="77"/>
      <c r="AD49" s="530">
        <f>VLOOKUP(Z43,Poele!A:M,7,FALSE())*AB46</f>
        <v>0.35099999999999998</v>
      </c>
      <c r="AE49" s="475"/>
      <c r="AF49" s="302" t="str">
        <f>VLOOKUP(AF43,Four!A:M,6,FALSE())</f>
        <v>Poireaux</v>
      </c>
      <c r="AG49" s="77"/>
      <c r="AH49" s="77"/>
      <c r="AI49" s="77"/>
      <c r="AJ49" s="530">
        <f>VLOOKUP(AF43,Four!A:M,7,FALSE())*AH46</f>
        <v>0.54</v>
      </c>
      <c r="AK49" s="475"/>
      <c r="AL49" s="302" t="str">
        <f>VLOOKUP(AL43,Four!A:M,6,FALSE())</f>
        <v>Poitrine fumée</v>
      </c>
      <c r="AM49" s="77"/>
      <c r="AN49" s="77"/>
      <c r="AO49" s="77"/>
      <c r="AP49" s="530">
        <f>VLOOKUP(AL43,Four!A:M,7,FALSE())*AN46</f>
        <v>0.19500000000000001</v>
      </c>
      <c r="AQ49" s="475"/>
      <c r="AR49" s="276" t="s">
        <v>23</v>
      </c>
      <c r="AS49" s="62">
        <v>0.08</v>
      </c>
      <c r="AT49" s="63">
        <f>+AS49*$C44*$F$9</f>
        <v>4.8</v>
      </c>
      <c r="AU49" s="276" t="s">
        <v>24</v>
      </c>
      <c r="AV49" s="64">
        <v>4</v>
      </c>
      <c r="AW49" s="277">
        <f>AV49/($F52*$C45)</f>
        <v>6.835269993164729E-2</v>
      </c>
      <c r="AX49" s="307" t="s">
        <v>23</v>
      </c>
      <c r="AY49" s="62">
        <v>0.03</v>
      </c>
      <c r="AZ49" s="95">
        <f>AY49*C44*F49/(BB48/1000)</f>
        <v>29.999999999999996</v>
      </c>
      <c r="BA49" s="276" t="s">
        <v>24</v>
      </c>
      <c r="BB49" s="96">
        <v>25</v>
      </c>
      <c r="BC49" s="313">
        <f>(BB49*BB48/1000)/($F52*$C45)</f>
        <v>2.5632262474367735E-2</v>
      </c>
      <c r="BD49" s="276" t="s">
        <v>23</v>
      </c>
      <c r="BE49" s="62">
        <v>7.0000000000000007E-2</v>
      </c>
      <c r="BF49" s="63">
        <f>+BE49*$C44*$F$9</f>
        <v>4.2</v>
      </c>
      <c r="BG49" s="276" t="s">
        <v>24</v>
      </c>
      <c r="BH49" s="64">
        <v>4</v>
      </c>
      <c r="BI49" s="65">
        <f>BH49/($F52*$C45)</f>
        <v>6.835269993164729E-2</v>
      </c>
    </row>
    <row r="50" spans="1:61" ht="17.25" customHeight="1">
      <c r="A50" s="86" t="s">
        <v>94</v>
      </c>
      <c r="B50" s="544" t="s">
        <v>178</v>
      </c>
      <c r="C50" s="445"/>
      <c r="D50" s="445"/>
      <c r="E50" s="446"/>
      <c r="F50" s="319">
        <f>(L44+R44+L49+X44+AD44+AJ44+AP44+AV44+AV49+BB44+BB49*(BB48/1000)+BH44+BH49)/C45</f>
        <v>0.61</v>
      </c>
      <c r="G50" s="320">
        <f>F50/(F50+F51)</f>
        <v>0.5324720670391061</v>
      </c>
      <c r="H50" s="70" t="s">
        <v>27</v>
      </c>
      <c r="I50" s="286">
        <v>7.0000000000000007E-2</v>
      </c>
      <c r="J50" s="287">
        <f>+I50*$E44*$F49</f>
        <v>2.1</v>
      </c>
      <c r="K50" s="70" t="s">
        <v>28</v>
      </c>
      <c r="L50" s="288">
        <v>2</v>
      </c>
      <c r="M50" s="289">
        <f>L50/($F52*$E45)</f>
        <v>6.835269993164729E-2</v>
      </c>
      <c r="N50" s="304" t="str">
        <f>VLOOKUP(N43,Friteuse!A:M,8,FALSE())</f>
        <v>Lait</v>
      </c>
      <c r="O50" s="79"/>
      <c r="P50" s="79"/>
      <c r="Q50" s="79"/>
      <c r="R50" s="530">
        <f>VLOOKUP(N43,Friteuse!A:M,9,FALSE())*P46</f>
        <v>0.06</v>
      </c>
      <c r="S50" s="475"/>
      <c r="T50" s="302" t="str">
        <f>VLOOKUP(T43,Wok!A:M,8,FALSE())</f>
        <v>Pousse bambou</v>
      </c>
      <c r="U50" s="77"/>
      <c r="V50" s="77"/>
      <c r="W50" s="77"/>
      <c r="X50" s="530">
        <f>VLOOKUP(T43,Wok!A:M,9,FALSE())*V46</f>
        <v>0.50700000000000001</v>
      </c>
      <c r="Y50" s="475"/>
      <c r="Z50" s="302" t="str">
        <f>VLOOKUP(Z43,Poele!A:M,8,FALSE())</f>
        <v>Ananas</v>
      </c>
      <c r="AA50" s="77"/>
      <c r="AB50" s="77"/>
      <c r="AC50" s="77"/>
      <c r="AD50" s="530">
        <f>VLOOKUP(Z43,Poele!A:M,9,FALSE())*AB46</f>
        <v>0.26999999999999996</v>
      </c>
      <c r="AE50" s="475"/>
      <c r="AF50" s="302" t="str">
        <f>VLOOKUP(AF43,Four!A:M,8,FALSE())</f>
        <v>Celeri</v>
      </c>
      <c r="AG50" s="77"/>
      <c r="AH50" s="77"/>
      <c r="AI50" s="77"/>
      <c r="AJ50" s="530">
        <f>VLOOKUP(AF43,Four!A:M,9,FALSE())*AH46</f>
        <v>0.54</v>
      </c>
      <c r="AK50" s="475"/>
      <c r="AL50" s="302" t="str">
        <f>VLOOKUP(AL43,Four!A:M,8,FALSE())</f>
        <v>Saucisse fumée</v>
      </c>
      <c r="AM50" s="77"/>
      <c r="AN50" s="77"/>
      <c r="AO50" s="77"/>
      <c r="AP50" s="530">
        <f>VLOOKUP(AL43,Four!A:M,9,FALSE())*AN46</f>
        <v>0.624</v>
      </c>
      <c r="AQ50" s="475"/>
      <c r="AR50" s="70" t="s">
        <v>27</v>
      </c>
      <c r="AS50" s="286">
        <v>0.09</v>
      </c>
      <c r="AT50" s="287">
        <f>+AS50*$E44*$F49</f>
        <v>2.6999999999999997</v>
      </c>
      <c r="AU50" s="70" t="s">
        <v>28</v>
      </c>
      <c r="AV50" s="288">
        <v>2</v>
      </c>
      <c r="AW50" s="289">
        <f>AV50/($F52*$E45)</f>
        <v>6.835269993164729E-2</v>
      </c>
      <c r="AX50" s="80" t="s">
        <v>27</v>
      </c>
      <c r="AY50" s="286">
        <v>0.03</v>
      </c>
      <c r="AZ50" s="321">
        <f>AY50*E44*F49/(BB48/1000)</f>
        <v>14.999999999999998</v>
      </c>
      <c r="BA50" s="70" t="s">
        <v>28</v>
      </c>
      <c r="BB50" s="322">
        <v>13</v>
      </c>
      <c r="BC50" s="315">
        <f>(BB50*BB48/1000)/($F52*$E45)</f>
        <v>2.6657552973342446E-2</v>
      </c>
      <c r="BD50" s="70" t="s">
        <v>27</v>
      </c>
      <c r="BE50" s="286">
        <v>7.0000000000000007E-2</v>
      </c>
      <c r="BF50" s="287">
        <f>+BE50*$E44*$F49</f>
        <v>2.1</v>
      </c>
      <c r="BG50" s="70" t="s">
        <v>28</v>
      </c>
      <c r="BH50" s="288">
        <v>2</v>
      </c>
      <c r="BI50" s="290">
        <f>BH50/($F52*$E45)</f>
        <v>6.835269993164729E-2</v>
      </c>
    </row>
    <row r="51" spans="1:61" ht="17.25" customHeight="1">
      <c r="A51" s="86" t="s">
        <v>45</v>
      </c>
      <c r="B51" s="447"/>
      <c r="C51" s="434"/>
      <c r="D51" s="434"/>
      <c r="E51" s="435"/>
      <c r="F51" s="323">
        <f>(L45+L50+R45+X45+AD45+AJ45+AP45+AV45+AV50+BB45+BB50*(BB48/1000)+BH50+BH45)/E45</f>
        <v>0.53560000000000008</v>
      </c>
      <c r="G51" s="324">
        <f>F51/(F50+F51)</f>
        <v>0.46752793296089395</v>
      </c>
      <c r="H51" s="298" t="s">
        <v>31</v>
      </c>
      <c r="I51" s="299">
        <f>+J51/$G44</f>
        <v>4.2000000000000003E-2</v>
      </c>
      <c r="J51" s="74">
        <f>SUM(J49:J50)</f>
        <v>6.3000000000000007</v>
      </c>
      <c r="K51" s="75" t="s">
        <v>31</v>
      </c>
      <c r="L51" s="300">
        <f>SUM(L49:L50)</f>
        <v>6</v>
      </c>
      <c r="M51" s="301">
        <f>L51/($F52*$G45)</f>
        <v>6.8352699931647304E-2</v>
      </c>
      <c r="N51" s="304" t="str">
        <f>VLOOKUP(N43,Friteuse!A:M,10,FALSE())</f>
        <v>Levure</v>
      </c>
      <c r="O51" s="78"/>
      <c r="P51" s="78"/>
      <c r="Q51" s="78"/>
      <c r="R51" s="530">
        <f>VLOOKUP(N43,Friteuse!A:M,11,FALSE())*P46</f>
        <v>1.1999999999999999E-3</v>
      </c>
      <c r="S51" s="475"/>
      <c r="T51" s="302" t="str">
        <f>VLOOKUP(T43,Wok!A:M,10,FALSE())</f>
        <v>Soja frais</v>
      </c>
      <c r="U51" s="81"/>
      <c r="V51" s="81"/>
      <c r="W51" s="81"/>
      <c r="X51" s="530">
        <f>VLOOKUP(T43,Wok!A:M,11,FALSE())*V46</f>
        <v>0.50700000000000001</v>
      </c>
      <c r="Y51" s="475"/>
      <c r="Z51" s="302" t="str">
        <f>VLOOKUP(Z43,Poele!A:M,10,FALSE())</f>
        <v>Creme</v>
      </c>
      <c r="AA51" s="81"/>
      <c r="AB51" s="81"/>
      <c r="AC51" s="81"/>
      <c r="AD51" s="530">
        <f>VLOOKUP(Z43,Poele!A:M,11,FALSE())*AB46</f>
        <v>0.26999999999999996</v>
      </c>
      <c r="AE51" s="475"/>
      <c r="AF51" s="302" t="str">
        <f>VLOOKUP(AF43,Four!A:M,10,FALSE())</f>
        <v>Champignons</v>
      </c>
      <c r="AG51" s="81"/>
      <c r="AH51" s="81"/>
      <c r="AI51" s="81"/>
      <c r="AJ51" s="530">
        <f>VLOOKUP(AF43,Four!A:M,11,FALSE())*AH46</f>
        <v>0.80999999999999994</v>
      </c>
      <c r="AK51" s="475"/>
      <c r="AL51" s="302" t="str">
        <f>VLOOKUP(AL43,Four!A:M,10,FALSE())</f>
        <v>Carotte</v>
      </c>
      <c r="AM51" s="81"/>
      <c r="AN51" s="81"/>
      <c r="AO51" s="81"/>
      <c r="AP51" s="530">
        <f>VLOOKUP(AL43,Four!A:M,11,FALSE())*AN46</f>
        <v>0.11699999999999999</v>
      </c>
      <c r="AQ51" s="475"/>
      <c r="AR51" s="298" t="s">
        <v>31</v>
      </c>
      <c r="AS51" s="299">
        <f>+AT51/$G44</f>
        <v>0.05</v>
      </c>
      <c r="AT51" s="74">
        <f>SUM(AT49:AT50)</f>
        <v>7.5</v>
      </c>
      <c r="AU51" s="75" t="s">
        <v>31</v>
      </c>
      <c r="AV51" s="300">
        <f>SUM(AV49:AV50)</f>
        <v>6</v>
      </c>
      <c r="AW51" s="301">
        <f>AV51/($F52*$G45)</f>
        <v>6.8352699931647304E-2</v>
      </c>
      <c r="AX51" s="308" t="s">
        <v>31</v>
      </c>
      <c r="AY51" s="299"/>
      <c r="AZ51" s="97">
        <f>SUM(AZ49:AZ50)</f>
        <v>44.999999999999993</v>
      </c>
      <c r="BA51" s="75" t="s">
        <v>31</v>
      </c>
      <c r="BB51" s="325">
        <f>SUM(BB49:BB50)</f>
        <v>38</v>
      </c>
      <c r="BC51" s="295">
        <f>(BB51*BB48/1000)/($F52*$G45)</f>
        <v>2.5974025974025972E-2</v>
      </c>
      <c r="BD51" s="298" t="s">
        <v>31</v>
      </c>
      <c r="BE51" s="299">
        <f>+BF51/$G44</f>
        <v>4.2000000000000003E-2</v>
      </c>
      <c r="BF51" s="74">
        <f>SUM(BF49:BF50)</f>
        <v>6.3000000000000007</v>
      </c>
      <c r="BG51" s="75" t="s">
        <v>31</v>
      </c>
      <c r="BH51" s="300">
        <f>SUM(BH49:BH50)</f>
        <v>6</v>
      </c>
      <c r="BI51" s="76">
        <f>BH51/($F52*$G45)</f>
        <v>6.8352699931647304E-2</v>
      </c>
    </row>
    <row r="52" spans="1:61" ht="17.25" customHeight="1">
      <c r="A52" s="86" t="s">
        <v>56</v>
      </c>
      <c r="B52" s="545" t="s">
        <v>159</v>
      </c>
      <c r="C52" s="431"/>
      <c r="D52" s="431"/>
      <c r="E52" s="432"/>
      <c r="F52" s="546">
        <f>(L46+L51+R46+X46+AD46+AJ46+AP46+AV46+AV51+BB51*BB48/1000+BB46+BH46+BH51)/G45</f>
        <v>0.58520000000000005</v>
      </c>
      <c r="G52" s="435"/>
      <c r="H52" s="302" t="str">
        <f>VLOOKUP(H48,Plancha2!A:M,2,FALSE())</f>
        <v>Lamelle encornet</v>
      </c>
      <c r="I52" s="82"/>
      <c r="J52" s="78"/>
      <c r="K52" s="78"/>
      <c r="L52" s="529">
        <f>J51</f>
        <v>6.3000000000000007</v>
      </c>
      <c r="M52" s="475"/>
      <c r="N52" s="304" t="str">
        <f>VLOOKUP(N43,Friteuse!A:M,12,FALSE())</f>
        <v>Curry gold</v>
      </c>
      <c r="O52" s="306"/>
      <c r="P52" s="306"/>
      <c r="Q52" s="306"/>
      <c r="R52" s="542">
        <f>VLOOKUP(N43,Friteuse!A:M,13,FALSE())*P46</f>
        <v>1.1999999999999999E-3</v>
      </c>
      <c r="S52" s="435"/>
      <c r="T52" s="302" t="str">
        <f>VLOOKUP(T43,Wok!A:M,12,FALSE())</f>
        <v>Champ. noirs</v>
      </c>
      <c r="U52" s="309"/>
      <c r="V52" s="309"/>
      <c r="W52" s="309"/>
      <c r="X52" s="542">
        <f>VLOOKUP(T43,Wok!A:M,13,FALSE())*V46</f>
        <v>0.78</v>
      </c>
      <c r="Y52" s="435"/>
      <c r="Z52" s="302" t="str">
        <f>VLOOKUP(Z43,Poele!A:M,12,FALSE())</f>
        <v>Curry</v>
      </c>
      <c r="AA52" s="309"/>
      <c r="AB52" s="309"/>
      <c r="AC52" s="309"/>
      <c r="AD52" s="542">
        <f>VLOOKUP(Z43,Poele!A:M,13,FALSE())*AB46</f>
        <v>5.3999999999999992E-2</v>
      </c>
      <c r="AE52" s="435"/>
      <c r="AF52" s="302" t="str">
        <f>VLOOKUP(AF43,Four!A:M,12,FALSE())</f>
        <v>Oignons</v>
      </c>
      <c r="AG52" s="309"/>
      <c r="AH52" s="309"/>
      <c r="AI52" s="309"/>
      <c r="AJ52" s="542">
        <f>VLOOKUP(AF43,Four!A:M,13,FALSE())*AH46</f>
        <v>0.54</v>
      </c>
      <c r="AK52" s="435"/>
      <c r="AL52" s="302" t="str">
        <f>VLOOKUP(AL43,Four!A:M,12,FALSE())</f>
        <v>Navet</v>
      </c>
      <c r="AM52" s="309"/>
      <c r="AN52" s="309"/>
      <c r="AO52" s="309"/>
      <c r="AP52" s="542">
        <f>VLOOKUP(AL43,Four!A:M,13,FALSE())*AN46</f>
        <v>0.156</v>
      </c>
      <c r="AQ52" s="435"/>
      <c r="AR52" s="310" t="s">
        <v>74</v>
      </c>
      <c r="AS52" s="82"/>
      <c r="AT52" s="78"/>
      <c r="AU52" s="78"/>
      <c r="AV52" s="529">
        <f>AT51</f>
        <v>7.5</v>
      </c>
      <c r="AW52" s="475"/>
      <c r="AX52" s="538" t="s">
        <v>75</v>
      </c>
      <c r="AY52" s="461"/>
      <c r="AZ52" s="461"/>
      <c r="BA52" s="311"/>
      <c r="BB52" s="529">
        <f>AZ51*(BB48/1000)</f>
        <v>2.6999999999999993</v>
      </c>
      <c r="BC52" s="475"/>
      <c r="BD52" s="543" t="s">
        <v>115</v>
      </c>
      <c r="BE52" s="461"/>
      <c r="BF52" s="461"/>
      <c r="BG52" s="311"/>
      <c r="BH52" s="529">
        <f>BF51</f>
        <v>6.3000000000000007</v>
      </c>
      <c r="BI52" s="503"/>
    </row>
    <row r="53" spans="1:61" ht="17.25" customHeight="1">
      <c r="A53" s="55">
        <f>A43+1</f>
        <v>45317</v>
      </c>
      <c r="B53" s="547" t="s">
        <v>8</v>
      </c>
      <c r="C53" s="432"/>
      <c r="D53" s="547" t="s">
        <v>9</v>
      </c>
      <c r="E53" s="432"/>
      <c r="F53" s="317" t="s">
        <v>10</v>
      </c>
      <c r="G53" s="318"/>
      <c r="H53" s="521" t="s">
        <v>184</v>
      </c>
      <c r="I53" s="431" t="s">
        <v>184</v>
      </c>
      <c r="J53" s="431" t="s">
        <v>184</v>
      </c>
      <c r="K53" s="431" t="s">
        <v>184</v>
      </c>
      <c r="L53" s="431" t="s">
        <v>184</v>
      </c>
      <c r="M53" s="432" t="s">
        <v>184</v>
      </c>
      <c r="N53" s="522" t="s">
        <v>197</v>
      </c>
      <c r="O53" s="431"/>
      <c r="P53" s="431"/>
      <c r="Q53" s="431"/>
      <c r="R53" s="431"/>
      <c r="S53" s="432"/>
      <c r="T53" s="523" t="s">
        <v>286</v>
      </c>
      <c r="U53" s="431" t="s">
        <v>286</v>
      </c>
      <c r="V53" s="431" t="s">
        <v>286</v>
      </c>
      <c r="W53" s="431" t="s">
        <v>286</v>
      </c>
      <c r="X53" s="431" t="s">
        <v>286</v>
      </c>
      <c r="Y53" s="432" t="s">
        <v>286</v>
      </c>
      <c r="Z53" s="523" t="s">
        <v>287</v>
      </c>
      <c r="AA53" s="431" t="s">
        <v>287</v>
      </c>
      <c r="AB53" s="431" t="s">
        <v>287</v>
      </c>
      <c r="AC53" s="431" t="s">
        <v>287</v>
      </c>
      <c r="AD53" s="431" t="s">
        <v>287</v>
      </c>
      <c r="AE53" s="432" t="s">
        <v>287</v>
      </c>
      <c r="AF53" s="519" t="s">
        <v>277</v>
      </c>
      <c r="AG53" s="431"/>
      <c r="AH53" s="431"/>
      <c r="AI53" s="431"/>
      <c r="AJ53" s="431"/>
      <c r="AK53" s="432"/>
      <c r="AL53" s="519" t="s">
        <v>212</v>
      </c>
      <c r="AM53" s="431" t="s">
        <v>212</v>
      </c>
      <c r="AN53" s="431" t="s">
        <v>212</v>
      </c>
      <c r="AO53" s="431" t="s">
        <v>212</v>
      </c>
      <c r="AP53" s="431" t="s">
        <v>212</v>
      </c>
      <c r="AQ53" s="432" t="s">
        <v>212</v>
      </c>
      <c r="AR53" s="481" t="s">
        <v>18</v>
      </c>
      <c r="AS53" s="431"/>
      <c r="AT53" s="431"/>
      <c r="AU53" s="431"/>
      <c r="AV53" s="431"/>
      <c r="AW53" s="432"/>
      <c r="AX53" s="482" t="s">
        <v>154</v>
      </c>
      <c r="AY53" s="434"/>
      <c r="AZ53" s="434"/>
      <c r="BA53" s="434"/>
      <c r="BB53" s="434"/>
      <c r="BC53" s="435"/>
      <c r="BD53" s="483" t="s">
        <v>155</v>
      </c>
      <c r="BE53" s="431"/>
      <c r="BF53" s="431"/>
      <c r="BG53" s="431"/>
      <c r="BH53" s="431"/>
      <c r="BI53" s="484"/>
    </row>
    <row r="54" spans="1:61" ht="17.25" customHeight="1">
      <c r="A54" s="326"/>
      <c r="B54" s="270" t="s">
        <v>22</v>
      </c>
      <c r="C54" s="271">
        <v>100</v>
      </c>
      <c r="D54" s="270" t="s">
        <v>22</v>
      </c>
      <c r="E54" s="272">
        <v>50</v>
      </c>
      <c r="F54" s="270" t="s">
        <v>22</v>
      </c>
      <c r="G54" s="56">
        <f t="shared" ref="G54:G55" si="5">+C54+E54</f>
        <v>150</v>
      </c>
      <c r="H54" s="276" t="s">
        <v>23</v>
      </c>
      <c r="I54" s="62">
        <v>0.05</v>
      </c>
      <c r="J54" s="63">
        <f>+I54*$C54*$F59</f>
        <v>3</v>
      </c>
      <c r="K54" s="276" t="s">
        <v>24</v>
      </c>
      <c r="L54" s="64">
        <v>3</v>
      </c>
      <c r="M54" s="277">
        <f>L54/($F62*$C55)</f>
        <v>5.1264524948735471E-2</v>
      </c>
      <c r="N54" s="273" t="s">
        <v>23</v>
      </c>
      <c r="O54" s="57">
        <v>0.01</v>
      </c>
      <c r="P54" s="58">
        <f>+O54*$C54*$F59</f>
        <v>0.6</v>
      </c>
      <c r="Q54" s="273" t="s">
        <v>24</v>
      </c>
      <c r="R54" s="84">
        <v>0.5</v>
      </c>
      <c r="S54" s="313">
        <f>R54/($F62*$C55)</f>
        <v>8.5440874914559112E-3</v>
      </c>
      <c r="T54" s="274" t="s">
        <v>23</v>
      </c>
      <c r="U54" s="60">
        <v>0.05</v>
      </c>
      <c r="V54" s="61">
        <f>+U54*$C54*$F59</f>
        <v>3</v>
      </c>
      <c r="W54" s="274" t="s">
        <v>24</v>
      </c>
      <c r="X54" s="59">
        <v>3</v>
      </c>
      <c r="Y54" s="275">
        <f>X54/($F62*$C55)</f>
        <v>5.1264524948735471E-2</v>
      </c>
      <c r="Z54" s="274" t="s">
        <v>23</v>
      </c>
      <c r="AA54" s="60">
        <v>0.03</v>
      </c>
      <c r="AB54" s="61">
        <f>+AA54*$C54*$F59</f>
        <v>1.7999999999999998</v>
      </c>
      <c r="AC54" s="274" t="s">
        <v>24</v>
      </c>
      <c r="AD54" s="59">
        <v>2</v>
      </c>
      <c r="AE54" s="275">
        <f>AD54/($F62*$C55)</f>
        <v>3.4176349965823645E-2</v>
      </c>
      <c r="AF54" s="274" t="s">
        <v>23</v>
      </c>
      <c r="AG54" s="60">
        <v>0.1</v>
      </c>
      <c r="AH54" s="61">
        <f>+AG54*$C54*$F59</f>
        <v>6</v>
      </c>
      <c r="AI54" s="274" t="s">
        <v>24</v>
      </c>
      <c r="AJ54" s="59">
        <v>6</v>
      </c>
      <c r="AK54" s="275">
        <f>AJ54/($F62*$C55)</f>
        <v>0.10252904989747094</v>
      </c>
      <c r="AL54" s="274" t="s">
        <v>23</v>
      </c>
      <c r="AM54" s="60">
        <v>0.05</v>
      </c>
      <c r="AN54" s="61">
        <f>+AM54*$C54*$F59</f>
        <v>3</v>
      </c>
      <c r="AO54" s="274" t="s">
        <v>24</v>
      </c>
      <c r="AP54" s="59">
        <v>3</v>
      </c>
      <c r="AQ54" s="275">
        <f>AP54/($F62*$C55)</f>
        <v>5.1264524948735471E-2</v>
      </c>
      <c r="AR54" s="276" t="s">
        <v>23</v>
      </c>
      <c r="AS54" s="62">
        <v>0.08</v>
      </c>
      <c r="AT54" s="63">
        <f>+AS54*$C54*$F59</f>
        <v>4.8</v>
      </c>
      <c r="AU54" s="276" t="s">
        <v>24</v>
      </c>
      <c r="AV54" s="64">
        <v>4</v>
      </c>
      <c r="AW54" s="277">
        <f>AV54/($F62*$C55)</f>
        <v>6.835269993164729E-2</v>
      </c>
      <c r="AX54" s="276" t="s">
        <v>23</v>
      </c>
      <c r="AY54" s="62">
        <v>0.43</v>
      </c>
      <c r="AZ54" s="63">
        <f>+AY54*$C54*$F59</f>
        <v>25.8</v>
      </c>
      <c r="BA54" s="276" t="s">
        <v>24</v>
      </c>
      <c r="BB54" s="64">
        <v>25</v>
      </c>
      <c r="BC54" s="277">
        <f>BB54/($F62*$C55)</f>
        <v>0.42720437457279559</v>
      </c>
      <c r="BD54" s="276" t="s">
        <v>23</v>
      </c>
      <c r="BE54" s="62">
        <v>0.02</v>
      </c>
      <c r="BF54" s="63">
        <f>+BE54*$C54*$F59</f>
        <v>1.2</v>
      </c>
      <c r="BG54" s="276" t="s">
        <v>24</v>
      </c>
      <c r="BH54" s="64">
        <v>1</v>
      </c>
      <c r="BI54" s="65">
        <f>BH54/($F62*$C55)</f>
        <v>1.7088174982911822E-2</v>
      </c>
    </row>
    <row r="55" spans="1:61" ht="17.25" customHeight="1">
      <c r="A55" s="327" t="s">
        <v>133</v>
      </c>
      <c r="B55" s="266" t="s">
        <v>26</v>
      </c>
      <c r="C55" s="66">
        <v>100</v>
      </c>
      <c r="D55" s="266" t="s">
        <v>26</v>
      </c>
      <c r="E55" s="67">
        <v>50</v>
      </c>
      <c r="F55" s="266" t="s">
        <v>26</v>
      </c>
      <c r="G55" s="279">
        <f t="shared" si="5"/>
        <v>150</v>
      </c>
      <c r="H55" s="70" t="s">
        <v>27</v>
      </c>
      <c r="I55" s="286">
        <v>0.03</v>
      </c>
      <c r="J55" s="287">
        <f>+I55*$E54*$F59</f>
        <v>0.89999999999999991</v>
      </c>
      <c r="K55" s="70" t="s">
        <v>28</v>
      </c>
      <c r="L55" s="288">
        <v>1</v>
      </c>
      <c r="M55" s="289">
        <f>L55/($F62*$E55)</f>
        <v>3.4176349965823645E-2</v>
      </c>
      <c r="N55" s="68" t="s">
        <v>27</v>
      </c>
      <c r="O55" s="280">
        <v>0.02</v>
      </c>
      <c r="P55" s="281">
        <f>+O55*$E54*$F59</f>
        <v>0.6</v>
      </c>
      <c r="Q55" s="68" t="s">
        <v>28</v>
      </c>
      <c r="R55" s="314">
        <v>0.5</v>
      </c>
      <c r="S55" s="315">
        <f>R55/($F62*$E55)</f>
        <v>1.7088174982911822E-2</v>
      </c>
      <c r="T55" s="69" t="s">
        <v>27</v>
      </c>
      <c r="U55" s="284">
        <v>0.03</v>
      </c>
      <c r="V55" s="285">
        <f>+U55*$E54*$F59</f>
        <v>0.89999999999999991</v>
      </c>
      <c r="W55" s="69" t="s">
        <v>28</v>
      </c>
      <c r="X55" s="282">
        <v>1</v>
      </c>
      <c r="Y55" s="283">
        <f>X55/($F62*$E55)</f>
        <v>3.4176349965823645E-2</v>
      </c>
      <c r="Z55" s="69" t="s">
        <v>27</v>
      </c>
      <c r="AA55" s="284">
        <v>0.03</v>
      </c>
      <c r="AB55" s="285">
        <f>+AA55*$E54*$F59</f>
        <v>0.89999999999999991</v>
      </c>
      <c r="AC55" s="69" t="s">
        <v>28</v>
      </c>
      <c r="AD55" s="282">
        <v>1</v>
      </c>
      <c r="AE55" s="283">
        <f>AD55/($F62*$E55)</f>
        <v>3.4176349965823645E-2</v>
      </c>
      <c r="AF55" s="69" t="s">
        <v>27</v>
      </c>
      <c r="AG55" s="284">
        <v>0.1</v>
      </c>
      <c r="AH55" s="285">
        <f>+AG55*$E54*$F59</f>
        <v>3</v>
      </c>
      <c r="AI55" s="69" t="s">
        <v>28</v>
      </c>
      <c r="AJ55" s="282">
        <v>3</v>
      </c>
      <c r="AK55" s="283">
        <f>AJ55/($F62*$E55)</f>
        <v>0.10252904989747094</v>
      </c>
      <c r="AL55" s="69" t="s">
        <v>27</v>
      </c>
      <c r="AM55" s="284">
        <v>0.03</v>
      </c>
      <c r="AN55" s="285">
        <f>+AM55*$E54*$F59</f>
        <v>0.89999999999999991</v>
      </c>
      <c r="AO55" s="69" t="s">
        <v>28</v>
      </c>
      <c r="AP55" s="282">
        <v>1</v>
      </c>
      <c r="AQ55" s="283">
        <f>AP55/($F62*$E55)</f>
        <v>3.4176349965823645E-2</v>
      </c>
      <c r="AR55" s="70" t="s">
        <v>27</v>
      </c>
      <c r="AS55" s="286">
        <v>0.09</v>
      </c>
      <c r="AT55" s="287">
        <f>+AS55*$E54*$F59</f>
        <v>2.6999999999999997</v>
      </c>
      <c r="AU55" s="70" t="s">
        <v>28</v>
      </c>
      <c r="AV55" s="288">
        <v>2</v>
      </c>
      <c r="AW55" s="289">
        <f>AV55/($F62*$E55)</f>
        <v>6.835269993164729E-2</v>
      </c>
      <c r="AX55" s="70" t="s">
        <v>27</v>
      </c>
      <c r="AY55" s="286">
        <v>0.34</v>
      </c>
      <c r="AZ55" s="287">
        <f>+AY55*$E54*$F59</f>
        <v>10.199999999999999</v>
      </c>
      <c r="BA55" s="70" t="s">
        <v>28</v>
      </c>
      <c r="BB55" s="288">
        <v>10</v>
      </c>
      <c r="BC55" s="289">
        <f>BB55/($F62*$E55)</f>
        <v>0.34176349965823649</v>
      </c>
      <c r="BD55" s="70" t="s">
        <v>27</v>
      </c>
      <c r="BE55" s="286">
        <v>0.02</v>
      </c>
      <c r="BF55" s="287">
        <f>+BE55*$E54*$F59</f>
        <v>0.6</v>
      </c>
      <c r="BG55" s="70" t="s">
        <v>28</v>
      </c>
      <c r="BH55" s="288">
        <v>0.5</v>
      </c>
      <c r="BI55" s="290">
        <f>BH55/($F62*$E55)</f>
        <v>1.7088174982911822E-2</v>
      </c>
    </row>
    <row r="56" spans="1:61" ht="17.25" customHeight="1">
      <c r="A56" s="328" t="s">
        <v>80</v>
      </c>
      <c r="B56" s="532" t="s">
        <v>30</v>
      </c>
      <c r="C56" s="454"/>
      <c r="D56" s="455"/>
      <c r="E56" s="533">
        <f>(I54+O54+U54+AA54+AG54+AM54+AS54+AY54+BE54+BE59+AY59+AS59+I59)/2</f>
        <v>0.53500000000000014</v>
      </c>
      <c r="F56" s="457"/>
      <c r="G56" s="534">
        <f>(E56+E57)</f>
        <v>1.0100000000000002</v>
      </c>
      <c r="H56" s="298" t="s">
        <v>31</v>
      </c>
      <c r="I56" s="299">
        <f>+J56/$G54</f>
        <v>2.5999999999999999E-2</v>
      </c>
      <c r="J56" s="74">
        <f>SUM(J54:J55)</f>
        <v>3.9</v>
      </c>
      <c r="K56" s="75" t="s">
        <v>31</v>
      </c>
      <c r="L56" s="300">
        <f>SUM(L54:L55)</f>
        <v>4</v>
      </c>
      <c r="M56" s="301">
        <f>L56/($F62*$G55)</f>
        <v>4.5568466621098203E-2</v>
      </c>
      <c r="N56" s="292" t="s">
        <v>31</v>
      </c>
      <c r="O56" s="293">
        <f>+P56/$G54</f>
        <v>8.0000000000000002E-3</v>
      </c>
      <c r="P56" s="71">
        <f>SUM(P54:P55)</f>
        <v>1.2</v>
      </c>
      <c r="Q56" s="85" t="s">
        <v>31</v>
      </c>
      <c r="R56" s="316">
        <f>SUM(R54:R55)</f>
        <v>1</v>
      </c>
      <c r="S56" s="295">
        <f>R56/($F62*$G55)</f>
        <v>1.1392116655274551E-2</v>
      </c>
      <c r="T56" s="296" t="s">
        <v>31</v>
      </c>
      <c r="U56" s="297">
        <f>+V56/$G54</f>
        <v>2.5999999999999999E-2</v>
      </c>
      <c r="V56" s="73">
        <f>SUM(V54:V55)</f>
        <v>3.9</v>
      </c>
      <c r="W56" s="72" t="s">
        <v>31</v>
      </c>
      <c r="X56" s="294">
        <f>SUM(X54:X55)</f>
        <v>4</v>
      </c>
      <c r="Y56" s="295">
        <f>X56/($F62*$G55)</f>
        <v>4.5568466621098203E-2</v>
      </c>
      <c r="Z56" s="296" t="s">
        <v>31</v>
      </c>
      <c r="AA56" s="297">
        <f>+AB56/$G54</f>
        <v>1.7999999999999999E-2</v>
      </c>
      <c r="AB56" s="73">
        <f>SUM(AB54:AB55)</f>
        <v>2.6999999999999997</v>
      </c>
      <c r="AC56" s="72" t="s">
        <v>31</v>
      </c>
      <c r="AD56" s="294">
        <f>SUM(AD54:AD55)</f>
        <v>3</v>
      </c>
      <c r="AE56" s="295">
        <f>AD56/($F62*$G55)</f>
        <v>3.4176349965823652E-2</v>
      </c>
      <c r="AF56" s="296" t="s">
        <v>31</v>
      </c>
      <c r="AG56" s="297">
        <f>+AH56/$G54</f>
        <v>0.06</v>
      </c>
      <c r="AH56" s="73">
        <f>SUM(AH54:AH55)</f>
        <v>9</v>
      </c>
      <c r="AI56" s="72" t="s">
        <v>31</v>
      </c>
      <c r="AJ56" s="294">
        <f>SUM(AJ54:AJ55)</f>
        <v>9</v>
      </c>
      <c r="AK56" s="295">
        <f>AJ56/($F62*$G55)</f>
        <v>0.10252904989747094</v>
      </c>
      <c r="AL56" s="296" t="s">
        <v>31</v>
      </c>
      <c r="AM56" s="297">
        <f>+AN56/$G54</f>
        <v>2.5999999999999999E-2</v>
      </c>
      <c r="AN56" s="73">
        <f>SUM(AN54:AN55)</f>
        <v>3.9</v>
      </c>
      <c r="AO56" s="72" t="s">
        <v>31</v>
      </c>
      <c r="AP56" s="294">
        <f>SUM(AP54:AP55)</f>
        <v>4</v>
      </c>
      <c r="AQ56" s="295">
        <f>AP56/($F62*$G55)</f>
        <v>4.5568466621098203E-2</v>
      </c>
      <c r="AR56" s="298" t="s">
        <v>31</v>
      </c>
      <c r="AS56" s="299">
        <f>+AT56/$G54</f>
        <v>0.05</v>
      </c>
      <c r="AT56" s="74">
        <f>SUM(AT54:AT55)</f>
        <v>7.5</v>
      </c>
      <c r="AU56" s="75" t="s">
        <v>31</v>
      </c>
      <c r="AV56" s="300">
        <f>SUM(AV54:AV55)</f>
        <v>6</v>
      </c>
      <c r="AW56" s="301">
        <f>AV56/($F62*$G55)</f>
        <v>6.8352699931647304E-2</v>
      </c>
      <c r="AX56" s="298" t="s">
        <v>31</v>
      </c>
      <c r="AY56" s="299">
        <f>+AZ56/$G54</f>
        <v>0.24</v>
      </c>
      <c r="AZ56" s="74">
        <f>SUM(AZ54:AZ55)</f>
        <v>36</v>
      </c>
      <c r="BA56" s="75" t="s">
        <v>31</v>
      </c>
      <c r="BB56" s="300">
        <f>SUM(BB54:BB55)</f>
        <v>35</v>
      </c>
      <c r="BC56" s="301">
        <f>BB56/($F62*$G55)</f>
        <v>0.39872408293460926</v>
      </c>
      <c r="BD56" s="298" t="s">
        <v>31</v>
      </c>
      <c r="BE56" s="299">
        <f>+BF56/$G54</f>
        <v>1.1999999999999999E-2</v>
      </c>
      <c r="BF56" s="74">
        <f>SUM(BF54:BF55)</f>
        <v>1.7999999999999998</v>
      </c>
      <c r="BG56" s="75" t="s">
        <v>31</v>
      </c>
      <c r="BH56" s="300">
        <f>SUM(BH54:BH55)</f>
        <v>1.5</v>
      </c>
      <c r="BI56" s="76">
        <f>BH56/($F62*$G55)</f>
        <v>1.7088174982911826E-2</v>
      </c>
    </row>
    <row r="57" spans="1:61" ht="17.25" customHeight="1">
      <c r="A57" s="102" t="s">
        <v>79</v>
      </c>
      <c r="B57" s="535" t="s">
        <v>34</v>
      </c>
      <c r="C57" s="461"/>
      <c r="D57" s="462"/>
      <c r="E57" s="536">
        <f>(I55+O55+U55+AA55+AG55+AM55+AS55+AY55+BE55+AS60+AY60+BE60+I60)/2</f>
        <v>0.47500000000000009</v>
      </c>
      <c r="F57" s="464"/>
      <c r="G57" s="459"/>
      <c r="H57" s="537">
        <f>VLOOKUP(H53,Plancha2!A:M,2,FALSE())</f>
        <v>0</v>
      </c>
      <c r="I57" s="474"/>
      <c r="J57" s="474"/>
      <c r="K57" s="306"/>
      <c r="L57" s="529">
        <f>J56</f>
        <v>3.9</v>
      </c>
      <c r="M57" s="475"/>
      <c r="N57" s="304" t="str">
        <f>VLOOKUP(N53,Friteuse!A:M,2,FALSE())</f>
        <v>Aiguilette</v>
      </c>
      <c r="O57" s="305"/>
      <c r="P57" s="305"/>
      <c r="Q57" s="77"/>
      <c r="R57" s="529">
        <f>VLOOKUP(N53,Friteuse!A:M,3,FALSE())*P56</f>
        <v>1.032</v>
      </c>
      <c r="S57" s="475"/>
      <c r="T57" s="302" t="str">
        <f>VLOOKUP(T53,Wok!A:M,2,FALSE())</f>
        <v>Pâtes</v>
      </c>
      <c r="U57" s="303"/>
      <c r="V57" s="303"/>
      <c r="W57" s="77"/>
      <c r="X57" s="529">
        <f>VLOOKUP(T53,Wok!A:M,3,FALSE())*V56</f>
        <v>1.6379999999999999</v>
      </c>
      <c r="Y57" s="475"/>
      <c r="Z57" s="302" t="str">
        <f>VLOOKUP(Z53,Poele!A:M,2,FALSE())</f>
        <v>Filet de lieu</v>
      </c>
      <c r="AA57" s="303"/>
      <c r="AB57" s="303"/>
      <c r="AC57" s="77"/>
      <c r="AD57" s="529">
        <f>VLOOKUP(Z53,Poele!A:M,3,FALSE())*AB56</f>
        <v>0</v>
      </c>
      <c r="AE57" s="475"/>
      <c r="AF57" s="302" t="str">
        <f>VLOOKUP(AF53,Four!A:M,2,FALSE())</f>
        <v>Dinde sauté</v>
      </c>
      <c r="AG57" s="303"/>
      <c r="AH57" s="303"/>
      <c r="AI57" s="77"/>
      <c r="AJ57" s="529">
        <f>VLOOKUP(AF53,Four!A:M,3,FALSE())*AH56</f>
        <v>6.03</v>
      </c>
      <c r="AK57" s="475"/>
      <c r="AL57" s="302" t="str">
        <f>VLOOKUP(AL53,Four!A:M,2,FALSE())</f>
        <v>Potiron</v>
      </c>
      <c r="AM57" s="303"/>
      <c r="AN57" s="303"/>
      <c r="AO57" s="77"/>
      <c r="AP57" s="529">
        <f>VLOOKUP(AL53,Four!A:M,3,FALSE())*AN56</f>
        <v>2.34</v>
      </c>
      <c r="AQ57" s="475"/>
      <c r="AR57" s="538" t="s">
        <v>42</v>
      </c>
      <c r="AS57" s="461"/>
      <c r="AT57" s="461"/>
      <c r="AU57" s="306"/>
      <c r="AV57" s="529">
        <f>AT56</f>
        <v>7.5</v>
      </c>
      <c r="AW57" s="475"/>
      <c r="AX57" s="528" t="s">
        <v>156</v>
      </c>
      <c r="AY57" s="471"/>
      <c r="AZ57" s="471"/>
      <c r="BA57" s="78"/>
      <c r="BB57" s="529">
        <f>AZ56</f>
        <v>36</v>
      </c>
      <c r="BC57" s="475"/>
      <c r="BD57" s="528" t="s">
        <v>157</v>
      </c>
      <c r="BE57" s="471"/>
      <c r="BF57" s="471"/>
      <c r="BG57" s="78"/>
      <c r="BH57" s="529">
        <f>BF56</f>
        <v>1.7999999999999998</v>
      </c>
      <c r="BI57" s="503"/>
    </row>
    <row r="58" spans="1:61" ht="17.25" customHeight="1">
      <c r="A58" s="102" t="s">
        <v>94</v>
      </c>
      <c r="B58" s="539" t="s">
        <v>46</v>
      </c>
      <c r="C58" s="445"/>
      <c r="D58" s="517"/>
      <c r="E58" s="540">
        <f>(L56+R56+X56+AD56+AJ56+AP56+AV56+BB56+BH56+BH61+(BB61*BB58/1000)+L61+AV61)/(G55*F62)</f>
        <v>1</v>
      </c>
      <c r="F58" s="474"/>
      <c r="G58" s="475"/>
      <c r="H58" s="521" t="s">
        <v>160</v>
      </c>
      <c r="I58" s="431"/>
      <c r="J58" s="431"/>
      <c r="K58" s="431"/>
      <c r="L58" s="431"/>
      <c r="M58" s="432"/>
      <c r="N58" s="304" t="str">
        <f>VLOOKUP(N53,Friteuse!A:M,4,FALSE())</f>
        <v>Creme</v>
      </c>
      <c r="O58" s="79"/>
      <c r="P58" s="79"/>
      <c r="Q58" s="79"/>
      <c r="R58" s="530">
        <f>VLOOKUP(N53,Friteuse!A:M,5,FALSE())*P56</f>
        <v>1.2E-2</v>
      </c>
      <c r="S58" s="475"/>
      <c r="T58" s="302" t="str">
        <f>VLOOKUP(T53,Wok!A:M,4,FALSE())</f>
        <v>Courgettes</v>
      </c>
      <c r="U58" s="77"/>
      <c r="V58" s="77"/>
      <c r="W58" s="77"/>
      <c r="X58" s="530">
        <f>VLOOKUP(T53,Wok!A:M,5,FALSE())*V56</f>
        <v>0.78</v>
      </c>
      <c r="Y58" s="475"/>
      <c r="Z58" s="302" t="str">
        <f>VLOOKUP(Z53,Poele!A:M,4,FALSE())</f>
        <v>Pâte à frire</v>
      </c>
      <c r="AA58" s="77"/>
      <c r="AB58" s="77"/>
      <c r="AC58" s="77"/>
      <c r="AD58" s="530">
        <f>VLOOKUP(Z53,Poele!A:M,5,FALSE())*AB56</f>
        <v>0</v>
      </c>
      <c r="AE58" s="475"/>
      <c r="AF58" s="302" t="str">
        <f>VLOOKUP(AF53,Four!A:M,4,FALSE())</f>
        <v>Carottes</v>
      </c>
      <c r="AG58" s="77"/>
      <c r="AH58" s="77"/>
      <c r="AI58" s="77"/>
      <c r="AJ58" s="530">
        <f>VLOOKUP(AF53,Four!A:M,5,FALSE())*AH56</f>
        <v>0.54</v>
      </c>
      <c r="AK58" s="475"/>
      <c r="AL58" s="302" t="str">
        <f>VLOOKUP(AL53,Four!A:M,4,FALSE())</f>
        <v>Oignons</v>
      </c>
      <c r="AM58" s="77"/>
      <c r="AN58" s="77"/>
      <c r="AO58" s="77"/>
      <c r="AP58" s="530">
        <f>VLOOKUP(AL53,Four!A:M,5,FALSE())*AN56</f>
        <v>1.17</v>
      </c>
      <c r="AQ58" s="475"/>
      <c r="AR58" s="481" t="s">
        <v>54</v>
      </c>
      <c r="AS58" s="431"/>
      <c r="AT58" s="431"/>
      <c r="AU58" s="431"/>
      <c r="AV58" s="431"/>
      <c r="AW58" s="432"/>
      <c r="AX58" s="481" t="s">
        <v>55</v>
      </c>
      <c r="AY58" s="431"/>
      <c r="AZ58" s="431"/>
      <c r="BA58" s="431"/>
      <c r="BB58" s="531">
        <v>60</v>
      </c>
      <c r="BC58" s="432"/>
      <c r="BD58" s="483" t="s">
        <v>269</v>
      </c>
      <c r="BE58" s="431"/>
      <c r="BF58" s="431"/>
      <c r="BG58" s="431"/>
      <c r="BH58" s="431"/>
      <c r="BI58" s="484"/>
    </row>
    <row r="59" spans="1:61" ht="17.25" customHeight="1">
      <c r="A59" s="102" t="s">
        <v>45</v>
      </c>
      <c r="B59" s="513" t="s">
        <v>158</v>
      </c>
      <c r="C59" s="445"/>
      <c r="D59" s="445"/>
      <c r="E59" s="445"/>
      <c r="F59" s="541">
        <v>0.6</v>
      </c>
      <c r="G59" s="446"/>
      <c r="H59" s="276" t="s">
        <v>23</v>
      </c>
      <c r="I59" s="62">
        <v>7.0000000000000007E-2</v>
      </c>
      <c r="J59" s="63">
        <f>+I59*$C54*$F$9</f>
        <v>4.2</v>
      </c>
      <c r="K59" s="276" t="s">
        <v>24</v>
      </c>
      <c r="L59" s="64">
        <v>4</v>
      </c>
      <c r="M59" s="277">
        <f>L59/($F62*$C55)</f>
        <v>6.835269993164729E-2</v>
      </c>
      <c r="N59" s="304" t="str">
        <f>VLOOKUP(N53,Friteuse!A:M,6,FALSE())</f>
        <v>Tandoori</v>
      </c>
      <c r="O59" s="79"/>
      <c r="P59" s="79"/>
      <c r="Q59" s="79"/>
      <c r="R59" s="530">
        <f>VLOOKUP(N53,Friteuse!A:M,7,FALSE())*P56</f>
        <v>1.7999999999999999E-2</v>
      </c>
      <c r="S59" s="475"/>
      <c r="T59" s="302" t="str">
        <f>VLOOKUP(T53,Wok!A:M,6,FALSE())</f>
        <v>Lardons</v>
      </c>
      <c r="U59" s="77"/>
      <c r="V59" s="77"/>
      <c r="W59" s="77"/>
      <c r="X59" s="530">
        <f>VLOOKUP(T53,Wok!A:M,7,FALSE())*V56</f>
        <v>1.2869999999999999</v>
      </c>
      <c r="Y59" s="475"/>
      <c r="Z59" s="302" t="str">
        <f>VLOOKUP(Z53,Poele!A:M,6,FALSE())</f>
        <v>Sce tartare</v>
      </c>
      <c r="AA59" s="77"/>
      <c r="AB59" s="77"/>
      <c r="AC59" s="77"/>
      <c r="AD59" s="530">
        <f>VLOOKUP(Z53,Poele!A:M,7,FALSE())*AB56</f>
        <v>0</v>
      </c>
      <c r="AE59" s="475"/>
      <c r="AF59" s="302" t="str">
        <f>VLOOKUP(AF53,Four!A:M,6,FALSE())</f>
        <v>Poireaux</v>
      </c>
      <c r="AG59" s="77"/>
      <c r="AH59" s="77"/>
      <c r="AI59" s="77"/>
      <c r="AJ59" s="530">
        <f>VLOOKUP(AF53,Four!A:M,7,FALSE())*AH56</f>
        <v>0.54</v>
      </c>
      <c r="AK59" s="475"/>
      <c r="AL59" s="302" t="str">
        <f>VLOOKUP(AL53,Four!A:M,6,FALSE())</f>
        <v>Emmental</v>
      </c>
      <c r="AM59" s="77"/>
      <c r="AN59" s="77"/>
      <c r="AO59" s="77"/>
      <c r="AP59" s="530">
        <f>VLOOKUP(AL53,Four!A:M,7,FALSE())*AN56</f>
        <v>0.39</v>
      </c>
      <c r="AQ59" s="475"/>
      <c r="AR59" s="276" t="s">
        <v>23</v>
      </c>
      <c r="AS59" s="62">
        <v>0.08</v>
      </c>
      <c r="AT59" s="63">
        <f>+AS59*$C54*$F$9</f>
        <v>4.8</v>
      </c>
      <c r="AU59" s="276" t="s">
        <v>24</v>
      </c>
      <c r="AV59" s="64">
        <v>4</v>
      </c>
      <c r="AW59" s="277">
        <f>AV59/($F62*$C55)</f>
        <v>6.835269993164729E-2</v>
      </c>
      <c r="AX59" s="307" t="s">
        <v>23</v>
      </c>
      <c r="AY59" s="62">
        <v>0.03</v>
      </c>
      <c r="AZ59" s="95">
        <f>AY59*C54*F59/(BB58/1000)</f>
        <v>29.999999999999996</v>
      </c>
      <c r="BA59" s="276" t="s">
        <v>24</v>
      </c>
      <c r="BB59" s="96">
        <v>25</v>
      </c>
      <c r="BC59" s="313">
        <f>(BB59*BB58/1000)/($F62*$C55)</f>
        <v>2.5632262474367735E-2</v>
      </c>
      <c r="BD59" s="276" t="s">
        <v>23</v>
      </c>
      <c r="BE59" s="62">
        <v>7.0000000000000007E-2</v>
      </c>
      <c r="BF59" s="63">
        <f>+BE59*$C54*$F$9</f>
        <v>4.2</v>
      </c>
      <c r="BG59" s="276" t="s">
        <v>24</v>
      </c>
      <c r="BH59" s="64">
        <v>4</v>
      </c>
      <c r="BI59" s="65">
        <f>BH59/($F62*$C55)</f>
        <v>6.835269993164729E-2</v>
      </c>
    </row>
    <row r="60" spans="1:61" ht="17.25" customHeight="1">
      <c r="A60" s="102" t="s">
        <v>56</v>
      </c>
      <c r="B60" s="544" t="s">
        <v>178</v>
      </c>
      <c r="C60" s="445"/>
      <c r="D60" s="445"/>
      <c r="E60" s="446"/>
      <c r="F60" s="319">
        <f>(L54+R54+L59+X54+AD54+AJ54+AP54+AV54+AV59+BB54+BB59*(BB58/1000)+BH54+BH59)/C55</f>
        <v>0.61</v>
      </c>
      <c r="G60" s="320">
        <f>F60/(F60+F61)</f>
        <v>0.5324720670391061</v>
      </c>
      <c r="H60" s="70" t="s">
        <v>27</v>
      </c>
      <c r="I60" s="286">
        <v>7.0000000000000007E-2</v>
      </c>
      <c r="J60" s="287">
        <f>+I60*$E54*$F59</f>
        <v>2.1</v>
      </c>
      <c r="K60" s="70" t="s">
        <v>28</v>
      </c>
      <c r="L60" s="288">
        <v>2</v>
      </c>
      <c r="M60" s="289">
        <f>L60/($F62*$E55)</f>
        <v>6.835269993164729E-2</v>
      </c>
      <c r="N60" s="304" t="str">
        <f>VLOOKUP(N53,Friteuse!A:M,8,FALSE())</f>
        <v>Sel</v>
      </c>
      <c r="O60" s="79"/>
      <c r="P60" s="79"/>
      <c r="Q60" s="79"/>
      <c r="R60" s="530">
        <f>VLOOKUP(N53,Friteuse!A:M,9,FALSE())*P56</f>
        <v>1.7999999999999999E-2</v>
      </c>
      <c r="S60" s="475"/>
      <c r="T60" s="302" t="str">
        <f>VLOOKUP(T53,Wok!A:M,8,FALSE())</f>
        <v>Sce napo</v>
      </c>
      <c r="U60" s="77"/>
      <c r="V60" s="77"/>
      <c r="W60" s="77"/>
      <c r="X60" s="530">
        <f>VLOOKUP(T53,Wok!A:M,9,FALSE())*V56</f>
        <v>0.19500000000000001</v>
      </c>
      <c r="Y60" s="475"/>
      <c r="Z60" s="302">
        <f>VLOOKUP(Z53,Poele!A:M,8,FALSE())</f>
        <v>0</v>
      </c>
      <c r="AA60" s="77"/>
      <c r="AB60" s="77"/>
      <c r="AC60" s="77"/>
      <c r="AD60" s="530">
        <f>VLOOKUP(Z53,Poele!A:M,9,FALSE())*AB56</f>
        <v>0</v>
      </c>
      <c r="AE60" s="475"/>
      <c r="AF60" s="302" t="str">
        <f>VLOOKUP(AF53,Four!A:M,8,FALSE())</f>
        <v>Celeri</v>
      </c>
      <c r="AG60" s="77"/>
      <c r="AH60" s="77"/>
      <c r="AI60" s="77"/>
      <c r="AJ60" s="530">
        <f>VLOOKUP(AF53,Four!A:M,9,FALSE())*AH56</f>
        <v>0.54</v>
      </c>
      <c r="AK60" s="475"/>
      <c r="AL60" s="302" t="str">
        <f>VLOOKUP(AL53,Four!A:M,8,FALSE())</f>
        <v>Basilic</v>
      </c>
      <c r="AM60" s="77"/>
      <c r="AN60" s="77"/>
      <c r="AO60" s="77"/>
      <c r="AP60" s="530">
        <f>VLOOKUP(AL53,Four!A:M,9,FALSE())*AN56</f>
        <v>0</v>
      </c>
      <c r="AQ60" s="475"/>
      <c r="AR60" s="70" t="s">
        <v>27</v>
      </c>
      <c r="AS60" s="286">
        <v>0.09</v>
      </c>
      <c r="AT60" s="287">
        <f>+AS60*$E54*$F59</f>
        <v>2.6999999999999997</v>
      </c>
      <c r="AU60" s="70" t="s">
        <v>28</v>
      </c>
      <c r="AV60" s="288">
        <v>2</v>
      </c>
      <c r="AW60" s="289">
        <f>AV60/($F62*$E55)</f>
        <v>6.835269993164729E-2</v>
      </c>
      <c r="AX60" s="80" t="s">
        <v>27</v>
      </c>
      <c r="AY60" s="286">
        <v>0.03</v>
      </c>
      <c r="AZ60" s="321">
        <f>AY60*E54*F59/(BB58/1000)</f>
        <v>14.999999999999998</v>
      </c>
      <c r="BA60" s="70" t="s">
        <v>28</v>
      </c>
      <c r="BB60" s="322">
        <v>13</v>
      </c>
      <c r="BC60" s="315">
        <f>(BB60*BB58/1000)/($F62*$E55)</f>
        <v>2.6657552973342446E-2</v>
      </c>
      <c r="BD60" s="70" t="s">
        <v>27</v>
      </c>
      <c r="BE60" s="286">
        <v>7.0000000000000007E-2</v>
      </c>
      <c r="BF60" s="287">
        <f>+BE60*$E54*$F59</f>
        <v>2.1</v>
      </c>
      <c r="BG60" s="70" t="s">
        <v>28</v>
      </c>
      <c r="BH60" s="288">
        <v>2</v>
      </c>
      <c r="BI60" s="290">
        <f>BH60/($F62*$E55)</f>
        <v>6.835269993164729E-2</v>
      </c>
    </row>
    <row r="61" spans="1:61" ht="17.25" customHeight="1">
      <c r="A61" s="102"/>
      <c r="B61" s="447"/>
      <c r="C61" s="434"/>
      <c r="D61" s="434"/>
      <c r="E61" s="435"/>
      <c r="F61" s="323">
        <f>(L55+L60+R55+X55+AD55+AJ55+AP55+AV55+AV60+BB55+BB60*(BB58/1000)+BH60+BH55)/E55</f>
        <v>0.53560000000000008</v>
      </c>
      <c r="G61" s="324">
        <f>F61/(F60+F61)</f>
        <v>0.46752793296089395</v>
      </c>
      <c r="H61" s="298" t="s">
        <v>31</v>
      </c>
      <c r="I61" s="299">
        <f>+J61/$G54</f>
        <v>4.2000000000000003E-2</v>
      </c>
      <c r="J61" s="74">
        <f>SUM(J59:J60)</f>
        <v>6.3000000000000007</v>
      </c>
      <c r="K61" s="75" t="s">
        <v>31</v>
      </c>
      <c r="L61" s="300">
        <f>SUM(L59:L60)</f>
        <v>6</v>
      </c>
      <c r="M61" s="301">
        <f>L61/($F62*$G55)</f>
        <v>6.8352699931647304E-2</v>
      </c>
      <c r="N61" s="304" t="str">
        <f>VLOOKUP(N53,Friteuse!A:M,10,FALSE())</f>
        <v>Panko</v>
      </c>
      <c r="O61" s="78"/>
      <c r="P61" s="78"/>
      <c r="Q61" s="78"/>
      <c r="R61" s="530">
        <f>VLOOKUP(N53,Friteuse!A:M,11,FALSE())*P56</f>
        <v>0.12</v>
      </c>
      <c r="S61" s="475"/>
      <c r="T61" s="302">
        <f>VLOOKUP(T53,Wok!A:M,10,FALSE())</f>
        <v>0</v>
      </c>
      <c r="U61" s="81"/>
      <c r="V61" s="81"/>
      <c r="W61" s="81"/>
      <c r="X61" s="530">
        <f>VLOOKUP(T53,Wok!A:M,11,FALSE())*V56</f>
        <v>0</v>
      </c>
      <c r="Y61" s="475"/>
      <c r="Z61" s="302">
        <f>VLOOKUP(Z53,Poele!A:M,10,FALSE())</f>
        <v>0</v>
      </c>
      <c r="AA61" s="81"/>
      <c r="AB61" s="81"/>
      <c r="AC61" s="81"/>
      <c r="AD61" s="530">
        <f>VLOOKUP(Z53,Poele!A:M,11,FALSE())*AB56</f>
        <v>0</v>
      </c>
      <c r="AE61" s="475"/>
      <c r="AF61" s="302" t="str">
        <f>VLOOKUP(AF53,Four!A:M,10,FALSE())</f>
        <v>Champignons</v>
      </c>
      <c r="AG61" s="81"/>
      <c r="AH61" s="81"/>
      <c r="AI61" s="81"/>
      <c r="AJ61" s="530">
        <f>VLOOKUP(AF53,Four!A:M,11,FALSE())*AH56</f>
        <v>0.80999999999999994</v>
      </c>
      <c r="AK61" s="475"/>
      <c r="AL61" s="302">
        <f>VLOOKUP(AL53,Four!A:M,10,FALSE())</f>
        <v>0</v>
      </c>
      <c r="AM61" s="81"/>
      <c r="AN61" s="81"/>
      <c r="AO61" s="81"/>
      <c r="AP61" s="530">
        <f>VLOOKUP(AL53,Four!A:M,11,FALSE())*AN56</f>
        <v>0</v>
      </c>
      <c r="AQ61" s="475"/>
      <c r="AR61" s="298" t="s">
        <v>31</v>
      </c>
      <c r="AS61" s="299">
        <f>+AT61/$G54</f>
        <v>0.05</v>
      </c>
      <c r="AT61" s="74">
        <f>SUM(AT59:AT60)</f>
        <v>7.5</v>
      </c>
      <c r="AU61" s="75" t="s">
        <v>31</v>
      </c>
      <c r="AV61" s="300">
        <f>SUM(AV59:AV60)</f>
        <v>6</v>
      </c>
      <c r="AW61" s="301">
        <f>AV61/($F62*$G55)</f>
        <v>6.8352699931647304E-2</v>
      </c>
      <c r="AX61" s="308" t="s">
        <v>31</v>
      </c>
      <c r="AY61" s="299"/>
      <c r="AZ61" s="97">
        <f>SUM(AZ59:AZ60)</f>
        <v>44.999999999999993</v>
      </c>
      <c r="BA61" s="75" t="s">
        <v>31</v>
      </c>
      <c r="BB61" s="325">
        <f>SUM(BB59:BB60)</f>
        <v>38</v>
      </c>
      <c r="BC61" s="295">
        <f>(BB61*BB58/1000)/($F62*$G55)</f>
        <v>2.5974025974025972E-2</v>
      </c>
      <c r="BD61" s="298" t="s">
        <v>31</v>
      </c>
      <c r="BE61" s="299">
        <f>+BF61/$G54</f>
        <v>4.2000000000000003E-2</v>
      </c>
      <c r="BF61" s="74">
        <f>SUM(BF59:BF60)</f>
        <v>6.3000000000000007</v>
      </c>
      <c r="BG61" s="75" t="s">
        <v>31</v>
      </c>
      <c r="BH61" s="300">
        <f>SUM(BH59:BH60)</f>
        <v>6</v>
      </c>
      <c r="BI61" s="76">
        <f>BH61/($F62*$G55)</f>
        <v>6.8352699931647304E-2</v>
      </c>
    </row>
    <row r="62" spans="1:61" ht="17.25" customHeight="1">
      <c r="A62" s="103"/>
      <c r="B62" s="545" t="s">
        <v>159</v>
      </c>
      <c r="C62" s="431"/>
      <c r="D62" s="431"/>
      <c r="E62" s="432"/>
      <c r="F62" s="546">
        <f>(L56+L61+R56+X56+AD56+AJ56+AP56+AV56+AV61+BB61*BB58/1000+BB56+BH56+BH61)/G55</f>
        <v>0.58520000000000005</v>
      </c>
      <c r="G62" s="435"/>
      <c r="H62" s="302" t="str">
        <f>VLOOKUP(H58,Plancha2!A:M,2,FALSE())</f>
        <v>Lamelle encornet</v>
      </c>
      <c r="I62" s="82"/>
      <c r="J62" s="78"/>
      <c r="K62" s="78"/>
      <c r="L62" s="529">
        <f>J61</f>
        <v>6.3000000000000007</v>
      </c>
      <c r="M62" s="475"/>
      <c r="N62" s="304">
        <f>VLOOKUP(N53,Friteuse!A:M,12,FALSE())</f>
        <v>0</v>
      </c>
      <c r="O62" s="306"/>
      <c r="P62" s="306"/>
      <c r="Q62" s="306"/>
      <c r="R62" s="542">
        <f>VLOOKUP(N53,Friteuse!A:M,13,FALSE())*P56</f>
        <v>0</v>
      </c>
      <c r="S62" s="435"/>
      <c r="T62" s="302">
        <f>VLOOKUP(T53,Wok!A:M,12,FALSE())</f>
        <v>0</v>
      </c>
      <c r="U62" s="309"/>
      <c r="V62" s="309"/>
      <c r="W62" s="309"/>
      <c r="X62" s="542">
        <f>VLOOKUP(T53,Wok!A:M,13,FALSE())*V56</f>
        <v>0</v>
      </c>
      <c r="Y62" s="435"/>
      <c r="Z62" s="302">
        <f>VLOOKUP(Z53,Poele!A:M,12,FALSE())</f>
        <v>0</v>
      </c>
      <c r="AA62" s="309"/>
      <c r="AB62" s="309"/>
      <c r="AC62" s="309"/>
      <c r="AD62" s="542">
        <f>VLOOKUP(Z53,Poele!A:M,13,FALSE())*AB56</f>
        <v>0</v>
      </c>
      <c r="AE62" s="435"/>
      <c r="AF62" s="302" t="str">
        <f>VLOOKUP(AF53,Four!A:M,12,FALSE())</f>
        <v>Oignons</v>
      </c>
      <c r="AG62" s="309"/>
      <c r="AH62" s="309"/>
      <c r="AI62" s="309"/>
      <c r="AJ62" s="542">
        <f>VLOOKUP(AF53,Four!A:M,13,FALSE())*AH56</f>
        <v>0.54</v>
      </c>
      <c r="AK62" s="435"/>
      <c r="AL62" s="302">
        <f>VLOOKUP(AL53,Four!A:M,12,FALSE())</f>
        <v>0</v>
      </c>
      <c r="AM62" s="309"/>
      <c r="AN62" s="309"/>
      <c r="AO62" s="309"/>
      <c r="AP62" s="542">
        <f>VLOOKUP(AL53,Four!A:M,13,FALSE())*AN56</f>
        <v>0</v>
      </c>
      <c r="AQ62" s="435"/>
      <c r="AR62" s="310" t="s">
        <v>74</v>
      </c>
      <c r="AS62" s="82"/>
      <c r="AT62" s="78"/>
      <c r="AU62" s="78"/>
      <c r="AV62" s="529">
        <f>AT61</f>
        <v>7.5</v>
      </c>
      <c r="AW62" s="475"/>
      <c r="AX62" s="538" t="s">
        <v>75</v>
      </c>
      <c r="AY62" s="461"/>
      <c r="AZ62" s="461"/>
      <c r="BA62" s="311"/>
      <c r="BB62" s="529">
        <f>AZ61*(BB58/1000)</f>
        <v>2.6999999999999993</v>
      </c>
      <c r="BC62" s="475"/>
      <c r="BD62" s="543" t="s">
        <v>115</v>
      </c>
      <c r="BE62" s="461"/>
      <c r="BF62" s="461"/>
      <c r="BG62" s="311"/>
      <c r="BH62" s="529">
        <f>BF61</f>
        <v>6.3000000000000007</v>
      </c>
      <c r="BI62" s="503"/>
    </row>
    <row r="63" spans="1:61" ht="17.25" customHeight="1">
      <c r="A63" s="55">
        <f>A53+1</f>
        <v>45318</v>
      </c>
      <c r="B63" s="547" t="s">
        <v>8</v>
      </c>
      <c r="C63" s="432"/>
      <c r="D63" s="547" t="s">
        <v>9</v>
      </c>
      <c r="E63" s="432"/>
      <c r="F63" s="317" t="s">
        <v>10</v>
      </c>
      <c r="G63" s="318"/>
      <c r="H63" s="521" t="s">
        <v>223</v>
      </c>
      <c r="I63" s="431"/>
      <c r="J63" s="431"/>
      <c r="K63" s="431"/>
      <c r="L63" s="431"/>
      <c r="M63" s="432"/>
      <c r="N63" s="522" t="s">
        <v>197</v>
      </c>
      <c r="O63" s="431"/>
      <c r="P63" s="431"/>
      <c r="Q63" s="431"/>
      <c r="R63" s="431"/>
      <c r="S63" s="432"/>
      <c r="T63" s="523" t="s">
        <v>266</v>
      </c>
      <c r="U63" s="431" t="s">
        <v>266</v>
      </c>
      <c r="V63" s="431" t="s">
        <v>266</v>
      </c>
      <c r="W63" s="431" t="s">
        <v>266</v>
      </c>
      <c r="X63" s="431" t="s">
        <v>266</v>
      </c>
      <c r="Y63" s="432" t="s">
        <v>266</v>
      </c>
      <c r="Z63" s="523" t="s">
        <v>220</v>
      </c>
      <c r="AA63" s="431" t="s">
        <v>220</v>
      </c>
      <c r="AB63" s="431" t="s">
        <v>220</v>
      </c>
      <c r="AC63" s="431" t="s">
        <v>220</v>
      </c>
      <c r="AD63" s="431" t="s">
        <v>220</v>
      </c>
      <c r="AE63" s="432" t="s">
        <v>220</v>
      </c>
      <c r="AF63" s="519" t="s">
        <v>277</v>
      </c>
      <c r="AG63" s="431"/>
      <c r="AH63" s="431"/>
      <c r="AI63" s="431"/>
      <c r="AJ63" s="431"/>
      <c r="AK63" s="432"/>
      <c r="AL63" s="519" t="s">
        <v>261</v>
      </c>
      <c r="AM63" s="431" t="s">
        <v>261</v>
      </c>
      <c r="AN63" s="431" t="s">
        <v>261</v>
      </c>
      <c r="AO63" s="431" t="s">
        <v>261</v>
      </c>
      <c r="AP63" s="431" t="s">
        <v>261</v>
      </c>
      <c r="AQ63" s="432" t="s">
        <v>261</v>
      </c>
      <c r="AR63" s="481" t="s">
        <v>18</v>
      </c>
      <c r="AS63" s="431"/>
      <c r="AT63" s="431"/>
      <c r="AU63" s="431"/>
      <c r="AV63" s="431"/>
      <c r="AW63" s="432"/>
      <c r="AX63" s="482" t="s">
        <v>154</v>
      </c>
      <c r="AY63" s="434"/>
      <c r="AZ63" s="434"/>
      <c r="BA63" s="434"/>
      <c r="BB63" s="434"/>
      <c r="BC63" s="435"/>
      <c r="BD63" s="483" t="s">
        <v>155</v>
      </c>
      <c r="BE63" s="431"/>
      <c r="BF63" s="431"/>
      <c r="BG63" s="431"/>
      <c r="BH63" s="431"/>
      <c r="BI63" s="484"/>
    </row>
    <row r="64" spans="1:61" ht="17.25" customHeight="1">
      <c r="A64" s="87" t="s">
        <v>45</v>
      </c>
      <c r="B64" s="270" t="s">
        <v>22</v>
      </c>
      <c r="C64" s="271">
        <v>100</v>
      </c>
      <c r="D64" s="270" t="s">
        <v>22</v>
      </c>
      <c r="E64" s="272">
        <v>50</v>
      </c>
      <c r="F64" s="270" t="s">
        <v>22</v>
      </c>
      <c r="G64" s="56">
        <f t="shared" ref="G64:G65" si="6">+C64+E64</f>
        <v>150</v>
      </c>
      <c r="H64" s="276" t="s">
        <v>23</v>
      </c>
      <c r="I64" s="62">
        <v>0.05</v>
      </c>
      <c r="J64" s="63">
        <f>+I64*$C64*$F69</f>
        <v>3</v>
      </c>
      <c r="K64" s="276" t="s">
        <v>24</v>
      </c>
      <c r="L64" s="64">
        <v>3</v>
      </c>
      <c r="M64" s="277">
        <f>L64/($F72*$C65)</f>
        <v>5.1264524948735471E-2</v>
      </c>
      <c r="N64" s="273" t="s">
        <v>23</v>
      </c>
      <c r="O64" s="57">
        <v>0.01</v>
      </c>
      <c r="P64" s="58">
        <f>+O64*$C64*$F69</f>
        <v>0.6</v>
      </c>
      <c r="Q64" s="273" t="s">
        <v>24</v>
      </c>
      <c r="R64" s="84">
        <v>0.5</v>
      </c>
      <c r="S64" s="313">
        <f>R64/($F72*$C65)</f>
        <v>8.5440874914559112E-3</v>
      </c>
      <c r="T64" s="274" t="s">
        <v>23</v>
      </c>
      <c r="U64" s="60">
        <v>0.05</v>
      </c>
      <c r="V64" s="61">
        <f>+U64*$C64*$F69</f>
        <v>3</v>
      </c>
      <c r="W64" s="274" t="s">
        <v>24</v>
      </c>
      <c r="X64" s="59">
        <v>3</v>
      </c>
      <c r="Y64" s="275">
        <f>X64/($F72*$C65)</f>
        <v>5.1264524948735471E-2</v>
      </c>
      <c r="Z64" s="274" t="s">
        <v>23</v>
      </c>
      <c r="AA64" s="60">
        <v>0.03</v>
      </c>
      <c r="AB64" s="61">
        <f>+AA64*$C64*$F69</f>
        <v>1.7999999999999998</v>
      </c>
      <c r="AC64" s="274" t="s">
        <v>24</v>
      </c>
      <c r="AD64" s="59">
        <v>2</v>
      </c>
      <c r="AE64" s="275">
        <f>AD64/($F72*$C65)</f>
        <v>3.4176349965823645E-2</v>
      </c>
      <c r="AF64" s="274" t="s">
        <v>23</v>
      </c>
      <c r="AG64" s="60">
        <v>0.1</v>
      </c>
      <c r="AH64" s="61">
        <f>+AG64*$C64*$F69</f>
        <v>6</v>
      </c>
      <c r="AI64" s="274" t="s">
        <v>24</v>
      </c>
      <c r="AJ64" s="59">
        <v>6</v>
      </c>
      <c r="AK64" s="275">
        <f>AJ64/($F72*$C65)</f>
        <v>0.10252904989747094</v>
      </c>
      <c r="AL64" s="274" t="s">
        <v>23</v>
      </c>
      <c r="AM64" s="60">
        <v>0.05</v>
      </c>
      <c r="AN64" s="61">
        <f>+AM64*$C64*$F69</f>
        <v>3</v>
      </c>
      <c r="AO64" s="274" t="s">
        <v>24</v>
      </c>
      <c r="AP64" s="59">
        <v>3</v>
      </c>
      <c r="AQ64" s="275">
        <f>AP64/($F72*$C65)</f>
        <v>5.1264524948735471E-2</v>
      </c>
      <c r="AR64" s="276" t="s">
        <v>23</v>
      </c>
      <c r="AS64" s="62">
        <v>0.08</v>
      </c>
      <c r="AT64" s="63">
        <f>+AS64*$C64*$F69</f>
        <v>4.8</v>
      </c>
      <c r="AU64" s="276" t="s">
        <v>24</v>
      </c>
      <c r="AV64" s="64">
        <v>4</v>
      </c>
      <c r="AW64" s="277">
        <f>AV64/($F72*$C65)</f>
        <v>6.835269993164729E-2</v>
      </c>
      <c r="AX64" s="276" t="s">
        <v>23</v>
      </c>
      <c r="AY64" s="62">
        <v>0.43</v>
      </c>
      <c r="AZ64" s="63">
        <f>+AY64*$C64*$F69</f>
        <v>25.8</v>
      </c>
      <c r="BA64" s="276" t="s">
        <v>24</v>
      </c>
      <c r="BB64" s="64">
        <v>25</v>
      </c>
      <c r="BC64" s="277">
        <f>BB64/($F72*$C65)</f>
        <v>0.42720437457279559</v>
      </c>
      <c r="BD64" s="276" t="s">
        <v>23</v>
      </c>
      <c r="BE64" s="62">
        <v>0.02</v>
      </c>
      <c r="BF64" s="63">
        <f>+BE64*$C64*$F69</f>
        <v>1.2</v>
      </c>
      <c r="BG64" s="276" t="s">
        <v>24</v>
      </c>
      <c r="BH64" s="64">
        <v>1</v>
      </c>
      <c r="BI64" s="65">
        <f>BH64/($F72*$C65)</f>
        <v>1.7088174982911822E-2</v>
      </c>
    </row>
    <row r="65" spans="1:61" ht="17.25" customHeight="1">
      <c r="A65" s="88" t="s">
        <v>56</v>
      </c>
      <c r="B65" s="266" t="s">
        <v>26</v>
      </c>
      <c r="C65" s="66">
        <v>100</v>
      </c>
      <c r="D65" s="266" t="s">
        <v>26</v>
      </c>
      <c r="E65" s="67">
        <v>50</v>
      </c>
      <c r="F65" s="266" t="s">
        <v>26</v>
      </c>
      <c r="G65" s="279">
        <f t="shared" si="6"/>
        <v>150</v>
      </c>
      <c r="H65" s="70" t="s">
        <v>27</v>
      </c>
      <c r="I65" s="286">
        <v>0.03</v>
      </c>
      <c r="J65" s="287">
        <f>+I65*$E64*$F69</f>
        <v>0.89999999999999991</v>
      </c>
      <c r="K65" s="70" t="s">
        <v>28</v>
      </c>
      <c r="L65" s="288">
        <v>1</v>
      </c>
      <c r="M65" s="289">
        <f>L65/($F72*$E65)</f>
        <v>3.4176349965823645E-2</v>
      </c>
      <c r="N65" s="68" t="s">
        <v>27</v>
      </c>
      <c r="O65" s="280">
        <v>0.02</v>
      </c>
      <c r="P65" s="281">
        <f>+O65*$E64*$F69</f>
        <v>0.6</v>
      </c>
      <c r="Q65" s="68" t="s">
        <v>28</v>
      </c>
      <c r="R65" s="314">
        <v>0.5</v>
      </c>
      <c r="S65" s="315">
        <f>R65/($F72*$E65)</f>
        <v>1.7088174982911822E-2</v>
      </c>
      <c r="T65" s="69" t="s">
        <v>27</v>
      </c>
      <c r="U65" s="284">
        <v>0.03</v>
      </c>
      <c r="V65" s="285">
        <f>+U65*$E64*$F69</f>
        <v>0.89999999999999991</v>
      </c>
      <c r="W65" s="69" t="s">
        <v>28</v>
      </c>
      <c r="X65" s="282">
        <v>1</v>
      </c>
      <c r="Y65" s="283">
        <f>X65/($F72*$E65)</f>
        <v>3.4176349965823645E-2</v>
      </c>
      <c r="Z65" s="69" t="s">
        <v>27</v>
      </c>
      <c r="AA65" s="284">
        <v>0.03</v>
      </c>
      <c r="AB65" s="285">
        <f>+AA65*$E64*$F69</f>
        <v>0.89999999999999991</v>
      </c>
      <c r="AC65" s="69" t="s">
        <v>28</v>
      </c>
      <c r="AD65" s="282">
        <v>1</v>
      </c>
      <c r="AE65" s="283">
        <f>AD65/($F72*$E65)</f>
        <v>3.4176349965823645E-2</v>
      </c>
      <c r="AF65" s="69" t="s">
        <v>27</v>
      </c>
      <c r="AG65" s="284">
        <v>0.1</v>
      </c>
      <c r="AH65" s="285">
        <f>+AG65*$E64*$F69</f>
        <v>3</v>
      </c>
      <c r="AI65" s="69" t="s">
        <v>28</v>
      </c>
      <c r="AJ65" s="282">
        <v>3</v>
      </c>
      <c r="AK65" s="283">
        <f>AJ65/($F72*$E65)</f>
        <v>0.10252904989747094</v>
      </c>
      <c r="AL65" s="69" t="s">
        <v>27</v>
      </c>
      <c r="AM65" s="284">
        <v>0.03</v>
      </c>
      <c r="AN65" s="285">
        <f>+AM65*$E64*$F69</f>
        <v>0.89999999999999991</v>
      </c>
      <c r="AO65" s="69" t="s">
        <v>28</v>
      </c>
      <c r="AP65" s="282">
        <v>1</v>
      </c>
      <c r="AQ65" s="283">
        <f>AP65/($F72*$E65)</f>
        <v>3.4176349965823645E-2</v>
      </c>
      <c r="AR65" s="70" t="s">
        <v>27</v>
      </c>
      <c r="AS65" s="286">
        <v>0.09</v>
      </c>
      <c r="AT65" s="287">
        <f>+AS65*$E64*$F69</f>
        <v>2.6999999999999997</v>
      </c>
      <c r="AU65" s="70" t="s">
        <v>28</v>
      </c>
      <c r="AV65" s="288">
        <v>2</v>
      </c>
      <c r="AW65" s="289">
        <f>AV65/($F72*$E65)</f>
        <v>6.835269993164729E-2</v>
      </c>
      <c r="AX65" s="70" t="s">
        <v>27</v>
      </c>
      <c r="AY65" s="286">
        <v>0.34</v>
      </c>
      <c r="AZ65" s="287">
        <f>+AY65*$E64*$F69</f>
        <v>10.199999999999999</v>
      </c>
      <c r="BA65" s="70" t="s">
        <v>28</v>
      </c>
      <c r="BB65" s="288">
        <v>10</v>
      </c>
      <c r="BC65" s="289">
        <f>BB65/($F72*$E65)</f>
        <v>0.34176349965823649</v>
      </c>
      <c r="BD65" s="70" t="s">
        <v>27</v>
      </c>
      <c r="BE65" s="286">
        <v>0.02</v>
      </c>
      <c r="BF65" s="287">
        <f>+BE65*$E64*$F69</f>
        <v>0.6</v>
      </c>
      <c r="BG65" s="70" t="s">
        <v>28</v>
      </c>
      <c r="BH65" s="288">
        <v>0.5</v>
      </c>
      <c r="BI65" s="290">
        <f>BH65/($F72*$E65)</f>
        <v>1.7088174982911822E-2</v>
      </c>
    </row>
    <row r="66" spans="1:61" ht="17.25" customHeight="1">
      <c r="A66" s="89" t="s">
        <v>79</v>
      </c>
      <c r="B66" s="532" t="s">
        <v>30</v>
      </c>
      <c r="C66" s="454"/>
      <c r="D66" s="455"/>
      <c r="E66" s="533">
        <f>(I64+O64+U64+AA64+AG64+AM64+AS64+AY64+BE64+BE69+AY69+AS69+I69)/2</f>
        <v>0.53500000000000014</v>
      </c>
      <c r="F66" s="457"/>
      <c r="G66" s="534">
        <f>(E66+E67)</f>
        <v>1.0100000000000002</v>
      </c>
      <c r="H66" s="298" t="s">
        <v>31</v>
      </c>
      <c r="I66" s="299">
        <f>+J66/$G64</f>
        <v>2.5999999999999999E-2</v>
      </c>
      <c r="J66" s="74">
        <f>SUM(J64:J65)</f>
        <v>3.9</v>
      </c>
      <c r="K66" s="75" t="s">
        <v>31</v>
      </c>
      <c r="L66" s="300">
        <f>SUM(L64:L65)</f>
        <v>4</v>
      </c>
      <c r="M66" s="301">
        <f>L66/($F72*$G65)</f>
        <v>4.5568466621098203E-2</v>
      </c>
      <c r="N66" s="292" t="s">
        <v>31</v>
      </c>
      <c r="O66" s="293">
        <f>+P66/$G64</f>
        <v>8.0000000000000002E-3</v>
      </c>
      <c r="P66" s="71">
        <f>SUM(P64:P65)</f>
        <v>1.2</v>
      </c>
      <c r="Q66" s="85" t="s">
        <v>31</v>
      </c>
      <c r="R66" s="316">
        <f>SUM(R64:R65)</f>
        <v>1</v>
      </c>
      <c r="S66" s="295">
        <f>R66/($F72*$G65)</f>
        <v>1.1392116655274551E-2</v>
      </c>
      <c r="T66" s="296" t="s">
        <v>31</v>
      </c>
      <c r="U66" s="297">
        <f>+V66/$G64</f>
        <v>2.5999999999999999E-2</v>
      </c>
      <c r="V66" s="73">
        <f>SUM(V64:V65)</f>
        <v>3.9</v>
      </c>
      <c r="W66" s="72" t="s">
        <v>31</v>
      </c>
      <c r="X66" s="294">
        <f>SUM(X64:X65)</f>
        <v>4</v>
      </c>
      <c r="Y66" s="295">
        <f>X66/($F72*$G65)</f>
        <v>4.5568466621098203E-2</v>
      </c>
      <c r="Z66" s="296" t="s">
        <v>31</v>
      </c>
      <c r="AA66" s="297">
        <f>+AB66/$G64</f>
        <v>1.7999999999999999E-2</v>
      </c>
      <c r="AB66" s="73">
        <f>SUM(AB64:AB65)</f>
        <v>2.6999999999999997</v>
      </c>
      <c r="AC66" s="72" t="s">
        <v>31</v>
      </c>
      <c r="AD66" s="294">
        <f>SUM(AD64:AD65)</f>
        <v>3</v>
      </c>
      <c r="AE66" s="295">
        <f>AD66/($F72*$G65)</f>
        <v>3.4176349965823652E-2</v>
      </c>
      <c r="AF66" s="296" t="s">
        <v>31</v>
      </c>
      <c r="AG66" s="297">
        <f>+AH66/$G64</f>
        <v>0.06</v>
      </c>
      <c r="AH66" s="73">
        <f>SUM(AH64:AH65)</f>
        <v>9</v>
      </c>
      <c r="AI66" s="72" t="s">
        <v>31</v>
      </c>
      <c r="AJ66" s="294">
        <f>SUM(AJ64:AJ65)</f>
        <v>9</v>
      </c>
      <c r="AK66" s="295">
        <f>AJ66/($F72*$G65)</f>
        <v>0.10252904989747094</v>
      </c>
      <c r="AL66" s="296" t="s">
        <v>31</v>
      </c>
      <c r="AM66" s="297">
        <f>+AN66/$G64</f>
        <v>2.5999999999999999E-2</v>
      </c>
      <c r="AN66" s="73">
        <f>SUM(AN64:AN65)</f>
        <v>3.9</v>
      </c>
      <c r="AO66" s="72" t="s">
        <v>31</v>
      </c>
      <c r="AP66" s="294">
        <f>SUM(AP64:AP65)</f>
        <v>4</v>
      </c>
      <c r="AQ66" s="295">
        <f>AP66/($F72*$G65)</f>
        <v>4.5568466621098203E-2</v>
      </c>
      <c r="AR66" s="298" t="s">
        <v>31</v>
      </c>
      <c r="AS66" s="299">
        <f>+AT66/$G64</f>
        <v>0.05</v>
      </c>
      <c r="AT66" s="74">
        <f>SUM(AT64:AT65)</f>
        <v>7.5</v>
      </c>
      <c r="AU66" s="75" t="s">
        <v>31</v>
      </c>
      <c r="AV66" s="300">
        <f>SUM(AV64:AV65)</f>
        <v>6</v>
      </c>
      <c r="AW66" s="301">
        <f>AV66/($F72*$G65)</f>
        <v>6.8352699931647304E-2</v>
      </c>
      <c r="AX66" s="298" t="s">
        <v>31</v>
      </c>
      <c r="AY66" s="299">
        <f>+AZ66/$G64</f>
        <v>0.24</v>
      </c>
      <c r="AZ66" s="74">
        <f>SUM(AZ64:AZ65)</f>
        <v>36</v>
      </c>
      <c r="BA66" s="75" t="s">
        <v>31</v>
      </c>
      <c r="BB66" s="300">
        <f>SUM(BB64:BB65)</f>
        <v>35</v>
      </c>
      <c r="BC66" s="301">
        <f>BB66/($F72*$G65)</f>
        <v>0.39872408293460926</v>
      </c>
      <c r="BD66" s="298" t="s">
        <v>31</v>
      </c>
      <c r="BE66" s="299">
        <f>+BF66/$G64</f>
        <v>1.1999999999999999E-2</v>
      </c>
      <c r="BF66" s="74">
        <f>SUM(BF64:BF65)</f>
        <v>1.7999999999999998</v>
      </c>
      <c r="BG66" s="75" t="s">
        <v>31</v>
      </c>
      <c r="BH66" s="300">
        <f>SUM(BH64:BH65)</f>
        <v>1.5</v>
      </c>
      <c r="BI66" s="76">
        <f>BH66/($F72*$G65)</f>
        <v>1.7088174982911826E-2</v>
      </c>
    </row>
    <row r="67" spans="1:61" ht="17.25" customHeight="1">
      <c r="A67" s="89" t="s">
        <v>80</v>
      </c>
      <c r="B67" s="535" t="s">
        <v>34</v>
      </c>
      <c r="C67" s="461"/>
      <c r="D67" s="462"/>
      <c r="E67" s="536">
        <f>(I65+O65+U65+AA65+AG65+AM65+AS65+AY65+BE65+AS70+AY70+BE70+I70)/2</f>
        <v>0.47500000000000009</v>
      </c>
      <c r="F67" s="464"/>
      <c r="G67" s="459"/>
      <c r="H67" s="537" t="str">
        <f>VLOOKUP(H63,Plancha2!A:M,2,FALSE())</f>
        <v>Ingr1</v>
      </c>
      <c r="I67" s="474"/>
      <c r="J67" s="474"/>
      <c r="K67" s="306"/>
      <c r="L67" s="529">
        <f>J66</f>
        <v>3.9</v>
      </c>
      <c r="M67" s="475"/>
      <c r="N67" s="304" t="str">
        <f>VLOOKUP(N63,Friteuse!A:M,2,FALSE())</f>
        <v>Aiguilette</v>
      </c>
      <c r="O67" s="305"/>
      <c r="P67" s="305"/>
      <c r="Q67" s="77"/>
      <c r="R67" s="529">
        <f>VLOOKUP(N63,Friteuse!A:M,3,FALSE())*P66</f>
        <v>1.032</v>
      </c>
      <c r="S67" s="475"/>
      <c r="T67" s="302" t="str">
        <f>VLOOKUP(T63,Wok!A:M,2,FALSE())</f>
        <v>Riz carnoli CUIT (2kg pour 1,6L)</v>
      </c>
      <c r="U67" s="303"/>
      <c r="V67" s="303"/>
      <c r="W67" s="77"/>
      <c r="X67" s="529">
        <f>VLOOKUP(T63,Wok!A:M,3,FALSE())*V66</f>
        <v>1.4039999999999999</v>
      </c>
      <c r="Y67" s="475"/>
      <c r="Z67" s="302" t="str">
        <f>VLOOKUP(Z63,Poele!A:M,2,FALSE())</f>
        <v>Filet mignon</v>
      </c>
      <c r="AA67" s="303"/>
      <c r="AB67" s="303"/>
      <c r="AC67" s="77"/>
      <c r="AD67" s="529">
        <f>VLOOKUP(Z63,Poele!A:M,3,FALSE())*AB66</f>
        <v>1.6199999999999999</v>
      </c>
      <c r="AE67" s="475"/>
      <c r="AF67" s="302" t="str">
        <f>VLOOKUP(AF63,Four!A:M,2,FALSE())</f>
        <v>Dinde sauté</v>
      </c>
      <c r="AG67" s="303"/>
      <c r="AH67" s="303"/>
      <c r="AI67" s="77"/>
      <c r="AJ67" s="529">
        <f>VLOOKUP(AF63,Four!A:M,3,FALSE())*AH66</f>
        <v>6.03</v>
      </c>
      <c r="AK67" s="475"/>
      <c r="AL67" s="302" t="str">
        <f>VLOOKUP(AL63,Four!A:M,2,FALSE())</f>
        <v>Courge</v>
      </c>
      <c r="AM67" s="303"/>
      <c r="AN67" s="303"/>
      <c r="AO67" s="77"/>
      <c r="AP67" s="529">
        <f>VLOOKUP(AL63,Four!A:M,3,FALSE())*AN66</f>
        <v>0</v>
      </c>
      <c r="AQ67" s="475"/>
      <c r="AR67" s="538" t="s">
        <v>42</v>
      </c>
      <c r="AS67" s="461"/>
      <c r="AT67" s="461"/>
      <c r="AU67" s="306"/>
      <c r="AV67" s="529">
        <f>AT66</f>
        <v>7.5</v>
      </c>
      <c r="AW67" s="475"/>
      <c r="AX67" s="528" t="s">
        <v>156</v>
      </c>
      <c r="AY67" s="471"/>
      <c r="AZ67" s="471"/>
      <c r="BA67" s="78"/>
      <c r="BB67" s="529">
        <f>AZ66</f>
        <v>36</v>
      </c>
      <c r="BC67" s="475"/>
      <c r="BD67" s="528" t="s">
        <v>157</v>
      </c>
      <c r="BE67" s="471"/>
      <c r="BF67" s="471"/>
      <c r="BG67" s="78"/>
      <c r="BH67" s="529">
        <f>BF66</f>
        <v>1.7999999999999998</v>
      </c>
      <c r="BI67" s="503"/>
    </row>
    <row r="68" spans="1:61" ht="17.25" customHeight="1">
      <c r="A68" s="89" t="s">
        <v>33</v>
      </c>
      <c r="B68" s="539" t="s">
        <v>46</v>
      </c>
      <c r="C68" s="445"/>
      <c r="D68" s="517"/>
      <c r="E68" s="540">
        <f>(L66+R66+X66+AD66+AJ66+AP66+AV66+BB66+BH66+BH71+(BB71*BB68/1000)+L71+AV71)/(G65*F72)</f>
        <v>1</v>
      </c>
      <c r="F68" s="474"/>
      <c r="G68" s="475"/>
      <c r="H68" s="521" t="s">
        <v>160</v>
      </c>
      <c r="I68" s="431"/>
      <c r="J68" s="431"/>
      <c r="K68" s="431"/>
      <c r="L68" s="431"/>
      <c r="M68" s="432"/>
      <c r="N68" s="304" t="str">
        <f>VLOOKUP(N63,Friteuse!A:M,4,FALSE())</f>
        <v>Creme</v>
      </c>
      <c r="O68" s="79"/>
      <c r="P68" s="79"/>
      <c r="Q68" s="79"/>
      <c r="R68" s="530">
        <f>VLOOKUP(N63,Friteuse!A:M,5,FALSE())*P66</f>
        <v>1.2E-2</v>
      </c>
      <c r="S68" s="475"/>
      <c r="T68" s="302" t="str">
        <f>VLOOKUP(T63,Wok!A:M,4,FALSE())</f>
        <v>Courgettes</v>
      </c>
      <c r="U68" s="77"/>
      <c r="V68" s="77"/>
      <c r="W68" s="77"/>
      <c r="X68" s="530">
        <f>VLOOKUP(T63,Wok!A:M,5,FALSE())*V66</f>
        <v>0.39</v>
      </c>
      <c r="Y68" s="475"/>
      <c r="Z68" s="302" t="str">
        <f>VLOOKUP(Z63,Poele!A:M,4,FALSE())</f>
        <v>Poire</v>
      </c>
      <c r="AA68" s="77"/>
      <c r="AB68" s="77"/>
      <c r="AC68" s="77"/>
      <c r="AD68" s="530">
        <f>VLOOKUP(Z63,Poele!A:M,5,FALSE())*AB66</f>
        <v>0.53999999999999992</v>
      </c>
      <c r="AE68" s="475"/>
      <c r="AF68" s="302" t="str">
        <f>VLOOKUP(AF63,Four!A:M,4,FALSE())</f>
        <v>Carottes</v>
      </c>
      <c r="AG68" s="77"/>
      <c r="AH68" s="77"/>
      <c r="AI68" s="77"/>
      <c r="AJ68" s="530">
        <f>VLOOKUP(AF63,Four!A:M,5,FALSE())*AH66</f>
        <v>0.54</v>
      </c>
      <c r="AK68" s="475"/>
      <c r="AL68" s="302" t="str">
        <f>VLOOKUP(AL63,Four!A:M,4,FALSE())</f>
        <v>Miel</v>
      </c>
      <c r="AM68" s="77"/>
      <c r="AN68" s="77"/>
      <c r="AO68" s="77"/>
      <c r="AP68" s="530">
        <f>VLOOKUP(AL63,Four!A:M,5,FALSE())*AN66</f>
        <v>0</v>
      </c>
      <c r="AQ68" s="475"/>
      <c r="AR68" s="481" t="s">
        <v>54</v>
      </c>
      <c r="AS68" s="431"/>
      <c r="AT68" s="431"/>
      <c r="AU68" s="431"/>
      <c r="AV68" s="431"/>
      <c r="AW68" s="432"/>
      <c r="AX68" s="481" t="s">
        <v>55</v>
      </c>
      <c r="AY68" s="431"/>
      <c r="AZ68" s="431"/>
      <c r="BA68" s="431"/>
      <c r="BB68" s="531">
        <v>60</v>
      </c>
      <c r="BC68" s="432"/>
      <c r="BD68" s="483" t="s">
        <v>269</v>
      </c>
      <c r="BE68" s="431"/>
      <c r="BF68" s="431"/>
      <c r="BG68" s="431"/>
      <c r="BH68" s="431"/>
      <c r="BI68" s="484"/>
    </row>
    <row r="69" spans="1:61" ht="17.25" customHeight="1">
      <c r="A69" s="89" t="s">
        <v>95</v>
      </c>
      <c r="B69" s="513" t="s">
        <v>158</v>
      </c>
      <c r="C69" s="445"/>
      <c r="D69" s="445"/>
      <c r="E69" s="445"/>
      <c r="F69" s="541">
        <v>0.6</v>
      </c>
      <c r="G69" s="446"/>
      <c r="H69" s="276" t="s">
        <v>23</v>
      </c>
      <c r="I69" s="62">
        <v>7.0000000000000007E-2</v>
      </c>
      <c r="J69" s="63">
        <f>+I69*$C64*$F$9</f>
        <v>4.2</v>
      </c>
      <c r="K69" s="276" t="s">
        <v>24</v>
      </c>
      <c r="L69" s="64">
        <v>4</v>
      </c>
      <c r="M69" s="277">
        <f>L69/($F72*$C65)</f>
        <v>6.835269993164729E-2</v>
      </c>
      <c r="N69" s="304" t="str">
        <f>VLOOKUP(N63,Friteuse!A:M,6,FALSE())</f>
        <v>Tandoori</v>
      </c>
      <c r="O69" s="79"/>
      <c r="P69" s="79"/>
      <c r="Q69" s="79"/>
      <c r="R69" s="530">
        <f>VLOOKUP(N63,Friteuse!A:M,7,FALSE())*P66</f>
        <v>1.7999999999999999E-2</v>
      </c>
      <c r="S69" s="475"/>
      <c r="T69" s="302" t="str">
        <f>VLOOKUP(T63,Wok!A:M,6,FALSE())</f>
        <v>Champignon</v>
      </c>
      <c r="U69" s="77"/>
      <c r="V69" s="77"/>
      <c r="W69" s="77"/>
      <c r="X69" s="530">
        <f>VLOOKUP(T63,Wok!A:M,7,FALSE())*V66</f>
        <v>0.624</v>
      </c>
      <c r="Y69" s="475"/>
      <c r="Z69" s="302" t="str">
        <f>VLOOKUP(Z63,Poele!A:M,6,FALSE())</f>
        <v>Roquefort</v>
      </c>
      <c r="AA69" s="77"/>
      <c r="AB69" s="77"/>
      <c r="AC69" s="77"/>
      <c r="AD69" s="530">
        <f>VLOOKUP(Z63,Poele!A:M,7,FALSE())*AB66</f>
        <v>0.26999999999999996</v>
      </c>
      <c r="AE69" s="475"/>
      <c r="AF69" s="302" t="str">
        <f>VLOOKUP(AF63,Four!A:M,6,FALSE())</f>
        <v>Poireaux</v>
      </c>
      <c r="AG69" s="77"/>
      <c r="AH69" s="77"/>
      <c r="AI69" s="77"/>
      <c r="AJ69" s="530">
        <f>VLOOKUP(AF63,Four!A:M,7,FALSE())*AH66</f>
        <v>0.54</v>
      </c>
      <c r="AK69" s="475"/>
      <c r="AL69" s="302" t="str">
        <f>VLOOKUP(AL63,Four!A:M,6,FALSE())</f>
        <v>Romarin</v>
      </c>
      <c r="AM69" s="77"/>
      <c r="AN69" s="77"/>
      <c r="AO69" s="77"/>
      <c r="AP69" s="530">
        <f>VLOOKUP(AL63,Four!A:M,7,FALSE())*AN66</f>
        <v>0</v>
      </c>
      <c r="AQ69" s="475"/>
      <c r="AR69" s="276" t="s">
        <v>23</v>
      </c>
      <c r="AS69" s="62">
        <v>0.08</v>
      </c>
      <c r="AT69" s="63">
        <f>+AS69*$C64*$F$9</f>
        <v>4.8</v>
      </c>
      <c r="AU69" s="276" t="s">
        <v>24</v>
      </c>
      <c r="AV69" s="64">
        <v>4</v>
      </c>
      <c r="AW69" s="277">
        <f>AV69/($F72*$C65)</f>
        <v>6.835269993164729E-2</v>
      </c>
      <c r="AX69" s="307" t="s">
        <v>23</v>
      </c>
      <c r="AY69" s="62">
        <v>0.03</v>
      </c>
      <c r="AZ69" s="95">
        <f>AY69*C64*F69/(BB68/1000)</f>
        <v>29.999999999999996</v>
      </c>
      <c r="BA69" s="276" t="s">
        <v>24</v>
      </c>
      <c r="BB69" s="96">
        <v>25</v>
      </c>
      <c r="BC69" s="313">
        <f>(BB69*BB68/1000)/($F72*$C65)</f>
        <v>2.5632262474367735E-2</v>
      </c>
      <c r="BD69" s="276" t="s">
        <v>23</v>
      </c>
      <c r="BE69" s="62">
        <v>7.0000000000000007E-2</v>
      </c>
      <c r="BF69" s="63">
        <f>+BE69*$C64*$F$9</f>
        <v>4.2</v>
      </c>
      <c r="BG69" s="276" t="s">
        <v>24</v>
      </c>
      <c r="BH69" s="64">
        <v>4</v>
      </c>
      <c r="BI69" s="65">
        <f>BH69/($F72*$C65)</f>
        <v>6.835269993164729E-2</v>
      </c>
    </row>
    <row r="70" spans="1:61" ht="17.25" customHeight="1">
      <c r="A70" s="89" t="s">
        <v>138</v>
      </c>
      <c r="B70" s="544" t="s">
        <v>178</v>
      </c>
      <c r="C70" s="445"/>
      <c r="D70" s="445"/>
      <c r="E70" s="446"/>
      <c r="F70" s="319">
        <f>(L64+R64+L69+X64+AD64+AJ64+AP64+AV64+AV69+BB64+BB69*(BB68/1000)+BH64+BH69)/C65</f>
        <v>0.61</v>
      </c>
      <c r="G70" s="320">
        <f>F70/(F70+F71)</f>
        <v>0.5324720670391061</v>
      </c>
      <c r="H70" s="70" t="s">
        <v>27</v>
      </c>
      <c r="I70" s="286">
        <v>7.0000000000000007E-2</v>
      </c>
      <c r="J70" s="287">
        <f>+I70*$E64*$F69</f>
        <v>2.1</v>
      </c>
      <c r="K70" s="70" t="s">
        <v>28</v>
      </c>
      <c r="L70" s="288">
        <v>2</v>
      </c>
      <c r="M70" s="289">
        <f>L70/($F72*$E65)</f>
        <v>6.835269993164729E-2</v>
      </c>
      <c r="N70" s="304" t="str">
        <f>VLOOKUP(N63,Friteuse!A:M,8,FALSE())</f>
        <v>Sel</v>
      </c>
      <c r="O70" s="79"/>
      <c r="P70" s="79"/>
      <c r="Q70" s="79"/>
      <c r="R70" s="530">
        <f>VLOOKUP(N63,Friteuse!A:M,9,FALSE())*P66</f>
        <v>1.7999999999999999E-2</v>
      </c>
      <c r="S70" s="475"/>
      <c r="T70" s="302" t="str">
        <f>VLOOKUP(T63,Wok!A:M,8,FALSE())</f>
        <v>Creme culinaire</v>
      </c>
      <c r="U70" s="77"/>
      <c r="V70" s="77"/>
      <c r="W70" s="77"/>
      <c r="X70" s="530">
        <f>VLOOKUP(T63,Wok!A:M,9,FALSE())*V66</f>
        <v>0.58499999999999996</v>
      </c>
      <c r="Y70" s="475"/>
      <c r="Z70" s="302" t="str">
        <f>VLOOKUP(Z63,Poele!A:M,8,FALSE())</f>
        <v>Creme</v>
      </c>
      <c r="AA70" s="77"/>
      <c r="AB70" s="77"/>
      <c r="AC70" s="77"/>
      <c r="AD70" s="530">
        <f>VLOOKUP(Z63,Poele!A:M,9,FALSE())*AB66</f>
        <v>0.26999999999999996</v>
      </c>
      <c r="AE70" s="475"/>
      <c r="AF70" s="302" t="str">
        <f>VLOOKUP(AF63,Four!A:M,8,FALSE())</f>
        <v>Celeri</v>
      </c>
      <c r="AG70" s="77"/>
      <c r="AH70" s="77"/>
      <c r="AI70" s="77"/>
      <c r="AJ70" s="530">
        <f>VLOOKUP(AF63,Four!A:M,9,FALSE())*AH66</f>
        <v>0.54</v>
      </c>
      <c r="AK70" s="475"/>
      <c r="AL70" s="302">
        <f>VLOOKUP(AL63,Four!A:M,8,FALSE())</f>
        <v>0</v>
      </c>
      <c r="AM70" s="77"/>
      <c r="AN70" s="77"/>
      <c r="AO70" s="77"/>
      <c r="AP70" s="530">
        <f>VLOOKUP(AL63,Four!A:M,9,FALSE())*AN66</f>
        <v>0</v>
      </c>
      <c r="AQ70" s="475"/>
      <c r="AR70" s="70" t="s">
        <v>27</v>
      </c>
      <c r="AS70" s="286">
        <v>0.09</v>
      </c>
      <c r="AT70" s="287">
        <f>+AS70*$E64*$F69</f>
        <v>2.6999999999999997</v>
      </c>
      <c r="AU70" s="70" t="s">
        <v>28</v>
      </c>
      <c r="AV70" s="288">
        <v>2</v>
      </c>
      <c r="AW70" s="289">
        <f>AV70/($F72*$E65)</f>
        <v>6.835269993164729E-2</v>
      </c>
      <c r="AX70" s="80" t="s">
        <v>27</v>
      </c>
      <c r="AY70" s="286">
        <v>0.03</v>
      </c>
      <c r="AZ70" s="321">
        <f>AY70*E64*F69/(BB68/1000)</f>
        <v>14.999999999999998</v>
      </c>
      <c r="BA70" s="70" t="s">
        <v>28</v>
      </c>
      <c r="BB70" s="322">
        <v>13</v>
      </c>
      <c r="BC70" s="315">
        <f>(BB70*BB68/1000)/($F72*$E65)</f>
        <v>2.6657552973342446E-2</v>
      </c>
      <c r="BD70" s="70" t="s">
        <v>27</v>
      </c>
      <c r="BE70" s="286">
        <v>7.0000000000000007E-2</v>
      </c>
      <c r="BF70" s="287">
        <f>+BE70*$E64*$F69</f>
        <v>2.1</v>
      </c>
      <c r="BG70" s="70" t="s">
        <v>28</v>
      </c>
      <c r="BH70" s="288">
        <v>2</v>
      </c>
      <c r="BI70" s="290">
        <f>BH70/($F72*$E65)</f>
        <v>6.835269993164729E-2</v>
      </c>
    </row>
    <row r="71" spans="1:61" ht="17.25" customHeight="1">
      <c r="A71" s="89" t="s">
        <v>94</v>
      </c>
      <c r="B71" s="447"/>
      <c r="C71" s="434"/>
      <c r="D71" s="434"/>
      <c r="E71" s="435"/>
      <c r="F71" s="323">
        <f>(L65+L70+R65+X65+AD65+AJ65+AP65+AV65+AV70+BB65+BB70*(BB68/1000)+BH70+BH65)/E65</f>
        <v>0.53560000000000008</v>
      </c>
      <c r="G71" s="324">
        <f>F71/(F70+F71)</f>
        <v>0.46752793296089395</v>
      </c>
      <c r="H71" s="298" t="s">
        <v>31</v>
      </c>
      <c r="I71" s="299">
        <f>+J71/$G64</f>
        <v>4.2000000000000003E-2</v>
      </c>
      <c r="J71" s="74">
        <f>SUM(J69:J70)</f>
        <v>6.3000000000000007</v>
      </c>
      <c r="K71" s="75" t="s">
        <v>31</v>
      </c>
      <c r="L71" s="300">
        <f>SUM(L69:L70)</f>
        <v>6</v>
      </c>
      <c r="M71" s="301">
        <f>L71/($F72*$G65)</f>
        <v>6.8352699931647304E-2</v>
      </c>
      <c r="N71" s="304" t="str">
        <f>VLOOKUP(N63,Friteuse!A:M,10,FALSE())</f>
        <v>Panko</v>
      </c>
      <c r="O71" s="78"/>
      <c r="P71" s="78"/>
      <c r="Q71" s="78"/>
      <c r="R71" s="530">
        <f>VLOOKUP(N63,Friteuse!A:M,11,FALSE())*P66</f>
        <v>0.12</v>
      </c>
      <c r="S71" s="475"/>
      <c r="T71" s="302" t="str">
        <f>VLOOKUP(T63,Wok!A:M,10,FALSE())</f>
        <v>Oignon</v>
      </c>
      <c r="U71" s="81"/>
      <c r="V71" s="81"/>
      <c r="W71" s="81"/>
      <c r="X71" s="530">
        <f>VLOOKUP(T63,Wok!A:M,11,FALSE())*V66</f>
        <v>0.19500000000000001</v>
      </c>
      <c r="Y71" s="475"/>
      <c r="Z71" s="302">
        <f>VLOOKUP(Z63,Poele!A:M,10,FALSE())</f>
        <v>0</v>
      </c>
      <c r="AA71" s="81"/>
      <c r="AB71" s="81"/>
      <c r="AC71" s="81"/>
      <c r="AD71" s="530">
        <f>VLOOKUP(Z63,Poele!A:M,11,FALSE())*AB66</f>
        <v>0</v>
      </c>
      <c r="AE71" s="475"/>
      <c r="AF71" s="302" t="str">
        <f>VLOOKUP(AF63,Four!A:M,10,FALSE())</f>
        <v>Champignons</v>
      </c>
      <c r="AG71" s="81"/>
      <c r="AH71" s="81"/>
      <c r="AI71" s="81"/>
      <c r="AJ71" s="530">
        <f>VLOOKUP(AF63,Four!A:M,11,FALSE())*AH66</f>
        <v>0.80999999999999994</v>
      </c>
      <c r="AK71" s="475"/>
      <c r="AL71" s="302">
        <f>VLOOKUP(AL63,Four!A:M,10,FALSE())</f>
        <v>0</v>
      </c>
      <c r="AM71" s="81"/>
      <c r="AN71" s="81"/>
      <c r="AO71" s="81"/>
      <c r="AP71" s="530">
        <f>VLOOKUP(AL63,Four!A:M,11,FALSE())*AN66</f>
        <v>0</v>
      </c>
      <c r="AQ71" s="475"/>
      <c r="AR71" s="298" t="s">
        <v>31</v>
      </c>
      <c r="AS71" s="299">
        <f>+AT71/$G64</f>
        <v>0.05</v>
      </c>
      <c r="AT71" s="74">
        <f>SUM(AT69:AT70)</f>
        <v>7.5</v>
      </c>
      <c r="AU71" s="75" t="s">
        <v>31</v>
      </c>
      <c r="AV71" s="300">
        <f>SUM(AV69:AV70)</f>
        <v>6</v>
      </c>
      <c r="AW71" s="301">
        <f>AV71/($F72*$G65)</f>
        <v>6.8352699931647304E-2</v>
      </c>
      <c r="AX71" s="308" t="s">
        <v>31</v>
      </c>
      <c r="AY71" s="299"/>
      <c r="AZ71" s="97">
        <f>SUM(AZ69:AZ70)</f>
        <v>44.999999999999993</v>
      </c>
      <c r="BA71" s="75" t="s">
        <v>31</v>
      </c>
      <c r="BB71" s="325">
        <f>SUM(BB69:BB70)</f>
        <v>38</v>
      </c>
      <c r="BC71" s="295">
        <f>(BB71*BB68/1000)/($F72*$G65)</f>
        <v>2.5974025974025972E-2</v>
      </c>
      <c r="BD71" s="298" t="s">
        <v>31</v>
      </c>
      <c r="BE71" s="299">
        <f>+BF71/$G64</f>
        <v>4.2000000000000003E-2</v>
      </c>
      <c r="BF71" s="74">
        <f>SUM(BF69:BF70)</f>
        <v>6.3000000000000007</v>
      </c>
      <c r="BG71" s="75" t="s">
        <v>31</v>
      </c>
      <c r="BH71" s="300">
        <f>SUM(BH69:BH70)</f>
        <v>6</v>
      </c>
      <c r="BI71" s="76">
        <f>BH71/($F72*$G65)</f>
        <v>6.8352699931647304E-2</v>
      </c>
    </row>
    <row r="72" spans="1:61" ht="17.25" customHeight="1">
      <c r="A72" s="90"/>
      <c r="B72" s="545" t="s">
        <v>159</v>
      </c>
      <c r="C72" s="431"/>
      <c r="D72" s="431"/>
      <c r="E72" s="432"/>
      <c r="F72" s="546">
        <f>(L66+L71+R66+X66+AD66+AJ66+AP66+AV66+AV71+BB71*BB68/1000+BB66+BH66+BH71)/G65</f>
        <v>0.58520000000000005</v>
      </c>
      <c r="G72" s="435"/>
      <c r="H72" s="302" t="str">
        <f>VLOOKUP(H68,Plancha2!A:M,2,FALSE())</f>
        <v>Lamelle encornet</v>
      </c>
      <c r="I72" s="82"/>
      <c r="J72" s="78"/>
      <c r="K72" s="78"/>
      <c r="L72" s="529">
        <f>J71</f>
        <v>6.3000000000000007</v>
      </c>
      <c r="M72" s="475"/>
      <c r="N72" s="101">
        <f>VLOOKUP(N63,Friteuse!A:M,12,FALSE())</f>
        <v>0</v>
      </c>
      <c r="O72" s="70"/>
      <c r="P72" s="70"/>
      <c r="Q72" s="70"/>
      <c r="R72" s="548">
        <f>VLOOKUP(N63,Friteuse!A:M,13,FALSE())*P66</f>
        <v>0</v>
      </c>
      <c r="S72" s="468"/>
      <c r="T72" s="91" t="str">
        <f>VLOOKUP(T63,Wok!A:M,12,FALSE())</f>
        <v>Base bouillon</v>
      </c>
      <c r="U72" s="92"/>
      <c r="V72" s="92"/>
      <c r="W72" s="92"/>
      <c r="X72" s="548">
        <f>VLOOKUP(T63,Wok!A:M,13,FALSE())*V66</f>
        <v>0.70199999999999996</v>
      </c>
      <c r="Y72" s="468"/>
      <c r="Z72" s="91">
        <f>VLOOKUP(Z63,Poele!A:M,12,FALSE())</f>
        <v>0</v>
      </c>
      <c r="AA72" s="92"/>
      <c r="AB72" s="92"/>
      <c r="AC72" s="92"/>
      <c r="AD72" s="548">
        <f>VLOOKUP(Z63,Poele!A:M,13,FALSE())*AB66</f>
        <v>0</v>
      </c>
      <c r="AE72" s="468"/>
      <c r="AF72" s="91" t="str">
        <f>VLOOKUP(AF63,Four!A:M,12,FALSE())</f>
        <v>Oignons</v>
      </c>
      <c r="AG72" s="92"/>
      <c r="AH72" s="92"/>
      <c r="AI72" s="92"/>
      <c r="AJ72" s="548">
        <f>VLOOKUP(AF63,Four!A:M,13,FALSE())*AH66</f>
        <v>0.54</v>
      </c>
      <c r="AK72" s="468"/>
      <c r="AL72" s="91">
        <f>VLOOKUP(AL63,Four!A:M,12,FALSE())</f>
        <v>0</v>
      </c>
      <c r="AM72" s="92"/>
      <c r="AN72" s="92"/>
      <c r="AO72" s="92"/>
      <c r="AP72" s="548">
        <f>VLOOKUP(AL63,Four!A:M,13,FALSE())*AN66</f>
        <v>0</v>
      </c>
      <c r="AQ72" s="468"/>
      <c r="AR72" s="80" t="s">
        <v>74</v>
      </c>
      <c r="AS72" s="93"/>
      <c r="AT72" s="70"/>
      <c r="AU72" s="70"/>
      <c r="AV72" s="549">
        <f>AT71</f>
        <v>7.5</v>
      </c>
      <c r="AW72" s="468"/>
      <c r="AX72" s="538" t="s">
        <v>75</v>
      </c>
      <c r="AY72" s="461"/>
      <c r="AZ72" s="461"/>
      <c r="BA72" s="311"/>
      <c r="BB72" s="529">
        <f>AZ71*(BB68/1000)</f>
        <v>2.6999999999999993</v>
      </c>
      <c r="BC72" s="475"/>
      <c r="BD72" s="543" t="s">
        <v>115</v>
      </c>
      <c r="BE72" s="461"/>
      <c r="BF72" s="461"/>
      <c r="BG72" s="94"/>
      <c r="BH72" s="549">
        <f>BF71</f>
        <v>6.3000000000000007</v>
      </c>
      <c r="BI72" s="550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  <row r="74" spans="1:61" ht="12.75" customHeight="1">
      <c r="A74" s="3"/>
      <c r="B74" s="98" t="str">
        <f t="shared" ref="B74:B79" si="7">N7</f>
        <v>Oeuf</v>
      </c>
      <c r="C74" s="99">
        <f t="shared" ref="C74:C79" si="8">R7</f>
        <v>0.24</v>
      </c>
      <c r="R74" s="3"/>
    </row>
    <row r="75" spans="1:61" ht="12.75" customHeight="1">
      <c r="A75" s="3"/>
      <c r="B75" s="98" t="str">
        <f t="shared" si="7"/>
        <v>Carotte</v>
      </c>
      <c r="C75" s="99">
        <f t="shared" si="8"/>
        <v>0.54</v>
      </c>
      <c r="R75" s="3"/>
    </row>
    <row r="76" spans="1:61" ht="12.75" customHeight="1">
      <c r="A76" s="3"/>
      <c r="B76" s="98" t="str">
        <f t="shared" si="7"/>
        <v>Farine</v>
      </c>
      <c r="C76" s="99">
        <f t="shared" si="8"/>
        <v>0.36</v>
      </c>
      <c r="R76" s="3"/>
    </row>
    <row r="77" spans="1:61" ht="12.75" customHeight="1">
      <c r="A77" s="3"/>
      <c r="B77" s="100" t="str">
        <f t="shared" si="7"/>
        <v>Lait</v>
      </c>
      <c r="C77" s="99">
        <f t="shared" si="8"/>
        <v>0.06</v>
      </c>
      <c r="R77" s="3"/>
    </row>
    <row r="78" spans="1:61" ht="12.75" customHeight="1">
      <c r="A78" s="3"/>
      <c r="B78" s="100" t="str">
        <f t="shared" si="7"/>
        <v>Levure</v>
      </c>
      <c r="C78" s="99">
        <f t="shared" si="8"/>
        <v>1.1999999999999999E-3</v>
      </c>
      <c r="R78" s="3"/>
    </row>
    <row r="79" spans="1:61" ht="12.75" customHeight="1">
      <c r="A79" s="3"/>
      <c r="B79" s="100" t="str">
        <f t="shared" si="7"/>
        <v>Curry gold</v>
      </c>
      <c r="C79" s="99">
        <f t="shared" si="8"/>
        <v>1.1999999999999999E-3</v>
      </c>
      <c r="R79" s="3"/>
    </row>
    <row r="80" spans="1:61" ht="12.75" customHeight="1">
      <c r="A80" s="3"/>
      <c r="B80" s="98" t="str">
        <f t="shared" ref="B80:B85" si="9">N17</f>
        <v>Oeuf</v>
      </c>
      <c r="C80" s="99">
        <f t="shared" ref="C80:C85" si="10">R17</f>
        <v>0.24</v>
      </c>
      <c r="R80" s="3"/>
    </row>
    <row r="81" spans="2:3" ht="12.75" customHeight="1">
      <c r="B81" s="98" t="str">
        <f t="shared" si="9"/>
        <v>Carotte</v>
      </c>
      <c r="C81" s="99">
        <f t="shared" si="10"/>
        <v>0.54</v>
      </c>
    </row>
    <row r="82" spans="2:3" ht="12.75" customHeight="1">
      <c r="B82" s="98" t="str">
        <f t="shared" si="9"/>
        <v>Farine</v>
      </c>
      <c r="C82" s="99">
        <f t="shared" si="10"/>
        <v>0.36</v>
      </c>
    </row>
    <row r="83" spans="2:3" ht="12.75" customHeight="1">
      <c r="B83" s="98" t="str">
        <f t="shared" si="9"/>
        <v>Lait</v>
      </c>
      <c r="C83" s="99">
        <f t="shared" si="10"/>
        <v>0.06</v>
      </c>
    </row>
    <row r="84" spans="2:3" ht="12.75" customHeight="1">
      <c r="B84" s="98" t="str">
        <f t="shared" si="9"/>
        <v>Levure</v>
      </c>
      <c r="C84" s="99">
        <f t="shared" si="10"/>
        <v>1.1999999999999999E-3</v>
      </c>
    </row>
    <row r="85" spans="2:3" ht="12.75" customHeight="1">
      <c r="B85" s="98" t="str">
        <f t="shared" si="9"/>
        <v>Curry gold</v>
      </c>
      <c r="C85" s="99">
        <f t="shared" si="10"/>
        <v>1.1999999999999999E-3</v>
      </c>
    </row>
    <row r="86" spans="2:3" ht="12.75" customHeight="1">
      <c r="B86" s="98" t="str">
        <f t="shared" ref="B86:B91" si="11">N27</f>
        <v>Aiguilette</v>
      </c>
      <c r="C86" s="99">
        <f t="shared" ref="C86:C91" si="12">R27</f>
        <v>1.032</v>
      </c>
    </row>
    <row r="87" spans="2:3" ht="12.75" customHeight="1">
      <c r="B87" s="98" t="str">
        <f t="shared" si="11"/>
        <v>Creme</v>
      </c>
      <c r="C87" s="99">
        <f t="shared" si="12"/>
        <v>1.2E-2</v>
      </c>
    </row>
    <row r="88" spans="2:3" ht="12.75" customHeight="1">
      <c r="B88" s="98" t="str">
        <f t="shared" si="11"/>
        <v>Tandoori</v>
      </c>
      <c r="C88" s="99">
        <f t="shared" si="12"/>
        <v>1.7999999999999999E-2</v>
      </c>
    </row>
    <row r="89" spans="2:3" ht="12.75" customHeight="1">
      <c r="B89" s="98" t="str">
        <f t="shared" si="11"/>
        <v>Sel</v>
      </c>
      <c r="C89" s="99">
        <f t="shared" si="12"/>
        <v>1.7999999999999999E-2</v>
      </c>
    </row>
    <row r="90" spans="2:3" ht="12.75" customHeight="1">
      <c r="B90" s="98" t="str">
        <f t="shared" si="11"/>
        <v>Panko</v>
      </c>
      <c r="C90" s="99">
        <f t="shared" si="12"/>
        <v>0.12</v>
      </c>
    </row>
    <row r="91" spans="2:3" ht="12.75" customHeight="1">
      <c r="B91" s="98">
        <f t="shared" si="11"/>
        <v>0</v>
      </c>
      <c r="C91" s="99">
        <f t="shared" si="12"/>
        <v>0</v>
      </c>
    </row>
    <row r="92" spans="2:3" ht="12.75" customHeight="1">
      <c r="B92" s="98" t="str">
        <f t="shared" ref="B92:B97" si="13">N37</f>
        <v>Falafel</v>
      </c>
      <c r="C92" s="99">
        <f t="shared" ref="C92:C97" si="14">R37</f>
        <v>1.2</v>
      </c>
    </row>
    <row r="93" spans="2:3" ht="12.75" customHeight="1">
      <c r="B93" s="98">
        <f t="shared" si="13"/>
        <v>0</v>
      </c>
      <c r="C93" s="99">
        <f t="shared" si="14"/>
        <v>0</v>
      </c>
    </row>
    <row r="94" spans="2:3" ht="12.75" customHeight="1">
      <c r="B94" s="98">
        <f t="shared" si="13"/>
        <v>0</v>
      </c>
      <c r="C94" s="99">
        <f t="shared" si="14"/>
        <v>0</v>
      </c>
    </row>
    <row r="95" spans="2:3" ht="12.75" customHeight="1">
      <c r="B95" s="100">
        <f t="shared" si="13"/>
        <v>0</v>
      </c>
      <c r="C95" s="99">
        <f t="shared" si="14"/>
        <v>0</v>
      </c>
    </row>
    <row r="96" spans="2:3" ht="12.75" customHeight="1">
      <c r="B96" s="100">
        <f t="shared" si="13"/>
        <v>0</v>
      </c>
      <c r="C96" s="99">
        <f t="shared" si="14"/>
        <v>0</v>
      </c>
    </row>
    <row r="97" spans="2:3" ht="12.75" customHeight="1">
      <c r="B97" s="100">
        <f t="shared" si="13"/>
        <v>0</v>
      </c>
      <c r="C97" s="99">
        <f t="shared" si="14"/>
        <v>0</v>
      </c>
    </row>
    <row r="98" spans="2:3" ht="12.75" customHeight="1">
      <c r="B98" s="98" t="str">
        <f t="shared" ref="B98:B103" si="15">N47</f>
        <v>Oeuf</v>
      </c>
      <c r="C98" s="99">
        <f t="shared" ref="C98:C103" si="16">R47</f>
        <v>0.24</v>
      </c>
    </row>
    <row r="99" spans="2:3" ht="12.75" customHeight="1">
      <c r="B99" s="98" t="str">
        <f t="shared" si="15"/>
        <v>Carotte</v>
      </c>
      <c r="C99" s="99">
        <f t="shared" si="16"/>
        <v>0.54</v>
      </c>
    </row>
    <row r="100" spans="2:3" ht="12.75" customHeight="1">
      <c r="B100" s="98" t="str">
        <f t="shared" si="15"/>
        <v>Farine</v>
      </c>
      <c r="C100" s="99">
        <f t="shared" si="16"/>
        <v>0.36</v>
      </c>
    </row>
    <row r="101" spans="2:3" ht="12.75" customHeight="1">
      <c r="B101" s="98" t="str">
        <f t="shared" si="15"/>
        <v>Lait</v>
      </c>
      <c r="C101" s="99">
        <f t="shared" si="16"/>
        <v>0.06</v>
      </c>
    </row>
    <row r="102" spans="2:3" ht="12.75" customHeight="1">
      <c r="B102" s="98" t="str">
        <f t="shared" si="15"/>
        <v>Levure</v>
      </c>
      <c r="C102" s="99">
        <f t="shared" si="16"/>
        <v>1.1999999999999999E-3</v>
      </c>
    </row>
    <row r="103" spans="2:3" ht="12.75" customHeight="1">
      <c r="B103" s="98" t="str">
        <f t="shared" si="15"/>
        <v>Curry gold</v>
      </c>
      <c r="C103" s="99">
        <f t="shared" si="16"/>
        <v>1.1999999999999999E-3</v>
      </c>
    </row>
    <row r="104" spans="2:3" ht="12.75" customHeight="1">
      <c r="B104" s="98" t="str">
        <f t="shared" ref="B104:B109" si="17">N57</f>
        <v>Aiguilette</v>
      </c>
      <c r="C104" s="99">
        <f t="shared" ref="C104:C109" si="18">R57</f>
        <v>1.032</v>
      </c>
    </row>
    <row r="105" spans="2:3" ht="12.75" customHeight="1">
      <c r="B105" s="98" t="str">
        <f t="shared" si="17"/>
        <v>Creme</v>
      </c>
      <c r="C105" s="99">
        <f t="shared" si="18"/>
        <v>1.2E-2</v>
      </c>
    </row>
    <row r="106" spans="2:3" ht="12.75" customHeight="1">
      <c r="B106" s="98" t="str">
        <f t="shared" si="17"/>
        <v>Tandoori</v>
      </c>
      <c r="C106" s="99">
        <f t="shared" si="18"/>
        <v>1.7999999999999999E-2</v>
      </c>
    </row>
    <row r="107" spans="2:3" ht="12.75" customHeight="1">
      <c r="B107" s="98" t="str">
        <f t="shared" si="17"/>
        <v>Sel</v>
      </c>
      <c r="C107" s="99">
        <f t="shared" si="18"/>
        <v>1.7999999999999999E-2</v>
      </c>
    </row>
    <row r="108" spans="2:3" ht="12.75" customHeight="1">
      <c r="B108" s="98" t="str">
        <f t="shared" si="17"/>
        <v>Panko</v>
      </c>
      <c r="C108" s="99">
        <f t="shared" si="18"/>
        <v>0.12</v>
      </c>
    </row>
    <row r="109" spans="2:3" ht="12.75" customHeight="1">
      <c r="B109" s="98">
        <f t="shared" si="17"/>
        <v>0</v>
      </c>
      <c r="C109" s="99">
        <f t="shared" si="18"/>
        <v>0</v>
      </c>
    </row>
    <row r="110" spans="2:3" ht="12.75" customHeight="1">
      <c r="B110" s="98" t="str">
        <f t="shared" ref="B110:B115" si="19">N67</f>
        <v>Aiguilette</v>
      </c>
      <c r="C110" s="99">
        <f t="shared" ref="C110:C115" si="20">R67</f>
        <v>1.032</v>
      </c>
    </row>
    <row r="111" spans="2:3" ht="12.75" customHeight="1">
      <c r="B111" s="98" t="str">
        <f t="shared" si="19"/>
        <v>Creme</v>
      </c>
      <c r="C111" s="99">
        <f t="shared" si="20"/>
        <v>1.2E-2</v>
      </c>
    </row>
    <row r="112" spans="2:3" ht="12.75" customHeight="1">
      <c r="B112" s="98" t="str">
        <f t="shared" si="19"/>
        <v>Tandoori</v>
      </c>
      <c r="C112" s="99">
        <f t="shared" si="20"/>
        <v>1.7999999999999999E-2</v>
      </c>
    </row>
    <row r="113" spans="2:3" ht="12.75" customHeight="1">
      <c r="B113" s="98" t="str">
        <f t="shared" si="19"/>
        <v>Sel</v>
      </c>
      <c r="C113" s="99">
        <f t="shared" si="20"/>
        <v>1.7999999999999999E-2</v>
      </c>
    </row>
    <row r="114" spans="2:3" ht="12.75" customHeight="1">
      <c r="B114" s="98" t="str">
        <f t="shared" si="19"/>
        <v>Panko</v>
      </c>
      <c r="C114" s="99">
        <f t="shared" si="20"/>
        <v>0.12</v>
      </c>
    </row>
    <row r="115" spans="2:3" ht="12.75" customHeight="1">
      <c r="B115" s="98">
        <f t="shared" si="19"/>
        <v>0</v>
      </c>
      <c r="C115" s="99">
        <f t="shared" si="20"/>
        <v>0</v>
      </c>
    </row>
    <row r="116" spans="2:3" ht="12.75" customHeight="1">
      <c r="B116" s="100" t="str">
        <f t="shared" ref="B116:B121" si="21">T7</f>
        <v>Aiguillettes</v>
      </c>
      <c r="C116" s="99">
        <f t="shared" ref="C116:C121" si="22">X7</f>
        <v>2.5350000000000001</v>
      </c>
    </row>
    <row r="117" spans="2:3" ht="12.75" customHeight="1">
      <c r="B117" s="100" t="str">
        <f t="shared" si="21"/>
        <v>Chorizo</v>
      </c>
      <c r="C117" s="99">
        <f t="shared" si="22"/>
        <v>0.78</v>
      </c>
    </row>
    <row r="118" spans="2:3" ht="12.75" customHeight="1">
      <c r="B118" s="100" t="str">
        <f t="shared" si="21"/>
        <v>Oignon</v>
      </c>
      <c r="C118" s="99">
        <f t="shared" si="22"/>
        <v>0.39</v>
      </c>
    </row>
    <row r="119" spans="2:3" ht="12.75" customHeight="1">
      <c r="B119" s="100" t="str">
        <f t="shared" si="21"/>
        <v>Crème</v>
      </c>
      <c r="C119" s="99">
        <f t="shared" si="22"/>
        <v>0.19500000000000001</v>
      </c>
    </row>
    <row r="120" spans="2:3" ht="12.75" customHeight="1">
      <c r="B120" s="100">
        <f t="shared" si="21"/>
        <v>0</v>
      </c>
      <c r="C120" s="99">
        <f t="shared" si="22"/>
        <v>0</v>
      </c>
    </row>
    <row r="121" spans="2:3" ht="12.75" customHeight="1">
      <c r="B121" s="100">
        <f t="shared" si="21"/>
        <v>0</v>
      </c>
      <c r="C121" s="99">
        <f t="shared" si="22"/>
        <v>0</v>
      </c>
    </row>
    <row r="122" spans="2:3" ht="12.75" customHeight="1">
      <c r="B122" s="100" t="str">
        <f t="shared" ref="B122:B127" si="23">T17</f>
        <v>Aiguillettes</v>
      </c>
      <c r="C122" s="99">
        <f t="shared" ref="C122:C127" si="24">X17</f>
        <v>2.5350000000000001</v>
      </c>
    </row>
    <row r="123" spans="2:3" ht="12.75" customHeight="1">
      <c r="B123" s="100" t="str">
        <f t="shared" si="23"/>
        <v>Gingembre</v>
      </c>
      <c r="C123" s="99">
        <f t="shared" si="24"/>
        <v>9.7500000000000003E-2</v>
      </c>
    </row>
    <row r="124" spans="2:3" ht="12.75" customHeight="1">
      <c r="B124" s="100" t="str">
        <f t="shared" si="23"/>
        <v>Miel</v>
      </c>
      <c r="C124" s="99">
        <f t="shared" si="24"/>
        <v>0.39</v>
      </c>
    </row>
    <row r="125" spans="2:3" ht="12.75" customHeight="1">
      <c r="B125" s="100" t="str">
        <f t="shared" si="23"/>
        <v>Lait coco</v>
      </c>
      <c r="C125" s="99">
        <f t="shared" si="24"/>
        <v>0.39</v>
      </c>
    </row>
    <row r="126" spans="2:3" ht="12.75" customHeight="1">
      <c r="B126" s="100" t="str">
        <f t="shared" si="23"/>
        <v>Crème</v>
      </c>
      <c r="C126" s="99">
        <f t="shared" si="24"/>
        <v>0.19500000000000001</v>
      </c>
    </row>
    <row r="127" spans="2:3" ht="12.75" customHeight="1">
      <c r="B127" s="100" t="str">
        <f t="shared" si="23"/>
        <v>Bouillon volaille</v>
      </c>
      <c r="C127" s="99">
        <f t="shared" si="24"/>
        <v>9.7500000000000003E-2</v>
      </c>
    </row>
    <row r="128" spans="2:3" ht="12.75" customHeight="1">
      <c r="B128" s="100" t="str">
        <f t="shared" ref="B128:B133" si="25">T27</f>
        <v>Pâtes</v>
      </c>
      <c r="C128" s="99">
        <f t="shared" ref="C128:C133" si="26">X27</f>
        <v>1.56</v>
      </c>
    </row>
    <row r="129" spans="2:3" ht="12.75" customHeight="1">
      <c r="B129" s="100" t="str">
        <f t="shared" si="25"/>
        <v>Lardons</v>
      </c>
      <c r="C129" s="99">
        <f t="shared" si="26"/>
        <v>0.78</v>
      </c>
    </row>
    <row r="130" spans="2:3" ht="12.75" customHeight="1">
      <c r="B130" s="100" t="str">
        <f t="shared" si="25"/>
        <v>Oignon</v>
      </c>
      <c r="C130" s="99">
        <f t="shared" si="26"/>
        <v>0.58499999999999996</v>
      </c>
    </row>
    <row r="131" spans="2:3" ht="12.75" customHeight="1">
      <c r="B131" s="100" t="str">
        <f t="shared" si="25"/>
        <v>Reblochon</v>
      </c>
      <c r="C131" s="99">
        <f t="shared" si="26"/>
        <v>0.39</v>
      </c>
    </row>
    <row r="132" spans="2:3" ht="12.75" customHeight="1">
      <c r="B132" s="100" t="str">
        <f t="shared" si="25"/>
        <v>Crème</v>
      </c>
      <c r="C132" s="99">
        <f t="shared" si="26"/>
        <v>0.39</v>
      </c>
    </row>
    <row r="133" spans="2:3" ht="12.75" customHeight="1">
      <c r="B133" s="100" t="str">
        <f t="shared" si="25"/>
        <v>Vin blc</v>
      </c>
      <c r="C133" s="99">
        <f t="shared" si="26"/>
        <v>0.19500000000000001</v>
      </c>
    </row>
    <row r="134" spans="2:3" ht="12.75" customHeight="1">
      <c r="B134" s="100" t="str">
        <f t="shared" ref="B134:B139" si="27">T37</f>
        <v>Aiguillettes</v>
      </c>
      <c r="C134" s="99">
        <f t="shared" ref="C134:C139" si="28">X37</f>
        <v>2.73</v>
      </c>
    </row>
    <row r="135" spans="2:3" ht="12.75" customHeight="1">
      <c r="B135" s="100" t="str">
        <f t="shared" si="27"/>
        <v>Pleurotes</v>
      </c>
      <c r="C135" s="99">
        <f t="shared" si="28"/>
        <v>0.78</v>
      </c>
    </row>
    <row r="136" spans="2:3" ht="12.75" customHeight="1">
      <c r="B136" s="100" t="str">
        <f t="shared" si="27"/>
        <v>Persillade</v>
      </c>
      <c r="C136" s="99">
        <f t="shared" si="28"/>
        <v>0.19500000000000001</v>
      </c>
    </row>
    <row r="137" spans="2:3" ht="12.75" customHeight="1">
      <c r="B137" s="100" t="str">
        <f t="shared" si="27"/>
        <v>Vin blanc</v>
      </c>
      <c r="C137" s="99">
        <f t="shared" si="28"/>
        <v>0.19500000000000001</v>
      </c>
    </row>
    <row r="138" spans="2:3" ht="12.75" customHeight="1">
      <c r="B138" s="100">
        <f t="shared" si="27"/>
        <v>0</v>
      </c>
      <c r="C138" s="99">
        <f t="shared" si="28"/>
        <v>0</v>
      </c>
    </row>
    <row r="139" spans="2:3" ht="12.75" customHeight="1">
      <c r="B139" s="100">
        <f t="shared" si="27"/>
        <v>0</v>
      </c>
      <c r="C139" s="99">
        <f t="shared" si="28"/>
        <v>0</v>
      </c>
    </row>
    <row r="140" spans="2:3" ht="12.75" customHeight="1">
      <c r="B140" s="100" t="str">
        <f t="shared" ref="B140:B145" si="29">T47</f>
        <v>Nouille</v>
      </c>
      <c r="C140" s="99">
        <f t="shared" ref="C140:C145" si="30">X47</f>
        <v>0.624</v>
      </c>
    </row>
    <row r="141" spans="2:3" ht="12.75" customHeight="1">
      <c r="B141" s="100" t="str">
        <f t="shared" si="29"/>
        <v>Poivron vert/rouge</v>
      </c>
      <c r="C141" s="99">
        <f t="shared" si="30"/>
        <v>0.97499999999999998</v>
      </c>
    </row>
    <row r="142" spans="2:3" ht="12.75" customHeight="1">
      <c r="B142" s="100" t="str">
        <f t="shared" si="29"/>
        <v>Pois gourmand</v>
      </c>
      <c r="C142" s="99">
        <f t="shared" si="30"/>
        <v>0.50700000000000001</v>
      </c>
    </row>
    <row r="143" spans="2:3" ht="12.75" customHeight="1">
      <c r="B143" s="100" t="str">
        <f t="shared" si="29"/>
        <v>Pousse bambou</v>
      </c>
      <c r="C143" s="99">
        <f t="shared" si="30"/>
        <v>0.50700000000000001</v>
      </c>
    </row>
    <row r="144" spans="2:3" ht="12.75" customHeight="1">
      <c r="B144" s="100" t="str">
        <f t="shared" si="29"/>
        <v>Soja frais</v>
      </c>
      <c r="C144" s="99">
        <f t="shared" si="30"/>
        <v>0.50700000000000001</v>
      </c>
    </row>
    <row r="145" spans="2:3" ht="12.75" customHeight="1">
      <c r="B145" s="100" t="str">
        <f t="shared" si="29"/>
        <v>Champ. noirs</v>
      </c>
      <c r="C145" s="99">
        <f t="shared" si="30"/>
        <v>0.78</v>
      </c>
    </row>
    <row r="146" spans="2:3" ht="12.75" customHeight="1">
      <c r="B146" s="100" t="str">
        <f t="shared" ref="B146:B151" si="31">T57</f>
        <v>Pâtes</v>
      </c>
      <c r="C146" s="99">
        <f t="shared" ref="C146:C151" si="32">X57</f>
        <v>1.6379999999999999</v>
      </c>
    </row>
    <row r="147" spans="2:3" ht="12.75" customHeight="1">
      <c r="B147" s="100" t="str">
        <f t="shared" si="31"/>
        <v>Courgettes</v>
      </c>
      <c r="C147" s="99">
        <f t="shared" si="32"/>
        <v>0.78</v>
      </c>
    </row>
    <row r="148" spans="2:3" ht="12.75" customHeight="1">
      <c r="B148" s="100" t="str">
        <f t="shared" si="31"/>
        <v>Lardons</v>
      </c>
      <c r="C148" s="99">
        <f t="shared" si="32"/>
        <v>1.2869999999999999</v>
      </c>
    </row>
    <row r="149" spans="2:3" ht="12.75" customHeight="1">
      <c r="B149" s="100" t="str">
        <f t="shared" si="31"/>
        <v>Sce napo</v>
      </c>
      <c r="C149" s="99">
        <f t="shared" si="32"/>
        <v>0.19500000000000001</v>
      </c>
    </row>
    <row r="150" spans="2:3" ht="12.75" customHeight="1">
      <c r="B150" s="100">
        <f t="shared" si="31"/>
        <v>0</v>
      </c>
      <c r="C150" s="99">
        <f t="shared" si="32"/>
        <v>0</v>
      </c>
    </row>
    <row r="151" spans="2:3" ht="12.75" customHeight="1">
      <c r="B151" s="100">
        <f t="shared" si="31"/>
        <v>0</v>
      </c>
      <c r="C151" s="99">
        <f t="shared" si="32"/>
        <v>0</v>
      </c>
    </row>
    <row r="152" spans="2:3" ht="12.75" customHeight="1">
      <c r="B152" s="100" t="str">
        <f t="shared" ref="B152:B157" si="33">T67</f>
        <v>Riz carnoli CUIT (2kg pour 1,6L)</v>
      </c>
      <c r="C152" s="99">
        <f t="shared" ref="C152:C157" si="34">X67</f>
        <v>1.4039999999999999</v>
      </c>
    </row>
    <row r="153" spans="2:3" ht="12.75" customHeight="1">
      <c r="B153" s="100" t="str">
        <f t="shared" si="33"/>
        <v>Courgettes</v>
      </c>
      <c r="C153" s="99">
        <f t="shared" si="34"/>
        <v>0.39</v>
      </c>
    </row>
    <row r="154" spans="2:3" ht="12.75" customHeight="1">
      <c r="B154" s="100" t="str">
        <f t="shared" si="33"/>
        <v>Champignon</v>
      </c>
      <c r="C154" s="99">
        <f t="shared" si="34"/>
        <v>0.624</v>
      </c>
    </row>
    <row r="155" spans="2:3" ht="12.75" customHeight="1">
      <c r="B155" s="100" t="str">
        <f t="shared" si="33"/>
        <v>Creme culinaire</v>
      </c>
      <c r="C155" s="99">
        <f t="shared" si="34"/>
        <v>0.58499999999999996</v>
      </c>
    </row>
    <row r="156" spans="2:3" ht="12.75" customHeight="1">
      <c r="B156" s="100" t="str">
        <f t="shared" si="33"/>
        <v>Oignon</v>
      </c>
      <c r="C156" s="99">
        <f t="shared" si="34"/>
        <v>0.19500000000000001</v>
      </c>
    </row>
    <row r="157" spans="2:3" ht="12.75" customHeight="1">
      <c r="B157" s="100" t="str">
        <f t="shared" si="33"/>
        <v>Base bouillon</v>
      </c>
      <c r="C157" s="99">
        <f t="shared" si="34"/>
        <v>0.70199999999999996</v>
      </c>
    </row>
    <row r="158" spans="2:3" ht="12.75" customHeight="1">
      <c r="B158" s="100" t="str">
        <f t="shared" ref="B158:B163" si="35">Z7</f>
        <v xml:space="preserve">Porc sauté </v>
      </c>
      <c r="C158" s="99">
        <f t="shared" ref="C158:C163" si="36">AD7</f>
        <v>1.8899999999999997</v>
      </c>
    </row>
    <row r="159" spans="2:3" ht="12.75" customHeight="1">
      <c r="B159" s="100" t="str">
        <f t="shared" si="35"/>
        <v>Ananas</v>
      </c>
      <c r="C159" s="99">
        <f t="shared" si="36"/>
        <v>0.53999999999999992</v>
      </c>
    </row>
    <row r="160" spans="2:3" ht="12.75" customHeight="1">
      <c r="B160" s="100" t="str">
        <f t="shared" si="35"/>
        <v>Oignon</v>
      </c>
      <c r="C160" s="99">
        <f t="shared" si="36"/>
        <v>0.26999999999999996</v>
      </c>
    </row>
    <row r="161" spans="2:3" ht="12.75" customHeight="1">
      <c r="B161" s="100" t="str">
        <f t="shared" si="35"/>
        <v>Curry - Cumin</v>
      </c>
      <c r="C161" s="99">
        <f t="shared" si="36"/>
        <v>0</v>
      </c>
    </row>
    <row r="162" spans="2:3" ht="12.75" customHeight="1">
      <c r="B162" s="100" t="str">
        <f t="shared" si="35"/>
        <v>Pulco- vin blc</v>
      </c>
      <c r="C162" s="99">
        <f t="shared" si="36"/>
        <v>0</v>
      </c>
    </row>
    <row r="163" spans="2:3" ht="12.75" customHeight="1">
      <c r="B163" s="100">
        <f t="shared" si="35"/>
        <v>0</v>
      </c>
      <c r="C163" s="99">
        <f t="shared" si="36"/>
        <v>0</v>
      </c>
    </row>
    <row r="164" spans="2:3" ht="12.75" customHeight="1">
      <c r="B164" s="100" t="str">
        <f t="shared" ref="B164:B169" si="37">Z17</f>
        <v>Lieu</v>
      </c>
      <c r="C164" s="99">
        <f t="shared" ref="C164:C169" si="38">AD17</f>
        <v>1.9709999999999999</v>
      </c>
    </row>
    <row r="165" spans="2:3" ht="12.75" customHeight="1">
      <c r="B165" s="100" t="str">
        <f t="shared" si="37"/>
        <v>Oignon</v>
      </c>
      <c r="C165" s="99">
        <f t="shared" si="38"/>
        <v>0.26999999999999996</v>
      </c>
    </row>
    <row r="166" spans="2:3" ht="12.75" customHeight="1">
      <c r="B166" s="100" t="str">
        <f t="shared" si="37"/>
        <v>Poivron vert</v>
      </c>
      <c r="C166" s="99">
        <f t="shared" si="38"/>
        <v>0.26999999999999996</v>
      </c>
    </row>
    <row r="167" spans="2:3" ht="12.75" customHeight="1">
      <c r="B167" s="100" t="str">
        <f t="shared" si="37"/>
        <v>Vin blc</v>
      </c>
      <c r="C167" s="99">
        <f t="shared" si="38"/>
        <v>0.189</v>
      </c>
    </row>
    <row r="168" spans="2:3" ht="12.75" customHeight="1">
      <c r="B168" s="100" t="str">
        <f t="shared" si="37"/>
        <v>Sce napo</v>
      </c>
      <c r="C168" s="99">
        <f t="shared" si="38"/>
        <v>0</v>
      </c>
    </row>
    <row r="169" spans="2:3" ht="12.75" customHeight="1">
      <c r="B169" s="100" t="str">
        <f t="shared" si="37"/>
        <v>Basilic</v>
      </c>
      <c r="C169" s="99">
        <f t="shared" si="38"/>
        <v>0</v>
      </c>
    </row>
    <row r="170" spans="2:3" ht="12.75" customHeight="1">
      <c r="B170" s="100" t="str">
        <f t="shared" ref="B170:B175" si="39">Z27</f>
        <v>Courgette</v>
      </c>
      <c r="C170" s="99">
        <f t="shared" ref="C170:C175" si="40">AD27</f>
        <v>1.2149999999999999</v>
      </c>
    </row>
    <row r="171" spans="2:3" ht="12.75" customHeight="1">
      <c r="B171" s="100" t="str">
        <f t="shared" si="39"/>
        <v>Carotte</v>
      </c>
      <c r="C171" s="99">
        <f t="shared" si="40"/>
        <v>1.2149999999999999</v>
      </c>
    </row>
    <row r="172" spans="2:3" ht="12.75" customHeight="1">
      <c r="B172" s="100" t="str">
        <f t="shared" si="39"/>
        <v>Sel</v>
      </c>
      <c r="C172" s="99">
        <f t="shared" si="40"/>
        <v>2.6999999999999996E-2</v>
      </c>
    </row>
    <row r="173" spans="2:3" ht="12.75" customHeight="1">
      <c r="B173" s="100" t="str">
        <f t="shared" si="39"/>
        <v>Herbes</v>
      </c>
      <c r="C173" s="99">
        <f t="shared" si="40"/>
        <v>2.6999999999999996E-2</v>
      </c>
    </row>
    <row r="174" spans="2:3" ht="12.75" customHeight="1">
      <c r="B174" s="100" t="str">
        <f t="shared" si="39"/>
        <v>Beurre</v>
      </c>
      <c r="C174" s="99">
        <f t="shared" si="40"/>
        <v>0.21599999999999997</v>
      </c>
    </row>
    <row r="175" spans="2:3" ht="12.75" customHeight="1">
      <c r="B175" s="100">
        <f t="shared" si="39"/>
        <v>0</v>
      </c>
      <c r="C175" s="99">
        <f t="shared" si="40"/>
        <v>0</v>
      </c>
    </row>
    <row r="176" spans="2:3" ht="12.75" customHeight="1">
      <c r="B176" s="100" t="str">
        <f t="shared" ref="B176:B181" si="41">Z37</f>
        <v>Calamars</v>
      </c>
      <c r="C176" s="99">
        <f t="shared" ref="C176:C181" si="42">AD37</f>
        <v>1.7549999999999999</v>
      </c>
    </row>
    <row r="177" spans="2:3" ht="12.75" customHeight="1">
      <c r="B177" s="100" t="str">
        <f t="shared" si="41"/>
        <v>Oignons</v>
      </c>
      <c r="C177" s="99">
        <f t="shared" si="42"/>
        <v>0.40499999999999997</v>
      </c>
    </row>
    <row r="178" spans="2:3" ht="12.75" customHeight="1">
      <c r="B178" s="100" t="str">
        <f t="shared" si="41"/>
        <v>Piment frais</v>
      </c>
      <c r="C178" s="99">
        <f t="shared" si="42"/>
        <v>2.6999999999999997E-3</v>
      </c>
    </row>
    <row r="179" spans="2:3" ht="12.75" customHeight="1">
      <c r="B179" s="100" t="str">
        <f t="shared" si="41"/>
        <v>Tomates</v>
      </c>
      <c r="C179" s="99">
        <f t="shared" si="42"/>
        <v>0.53999999999999992</v>
      </c>
    </row>
    <row r="180" spans="2:3" ht="12.75" customHeight="1">
      <c r="B180" s="100" t="str">
        <f t="shared" si="41"/>
        <v>Basilic</v>
      </c>
      <c r="C180" s="99">
        <f t="shared" si="42"/>
        <v>0</v>
      </c>
    </row>
    <row r="181" spans="2:3" ht="12.75" customHeight="1">
      <c r="B181" s="100" t="str">
        <f t="shared" si="41"/>
        <v>Sauce soja</v>
      </c>
      <c r="C181" s="99">
        <f t="shared" si="42"/>
        <v>0</v>
      </c>
    </row>
    <row r="182" spans="2:3" ht="12.75" customHeight="1">
      <c r="B182" s="100" t="str">
        <f t="shared" ref="B182:B187" si="43">Z47</f>
        <v>Poulet</v>
      </c>
      <c r="C182" s="99">
        <f t="shared" ref="C182:C187" si="44">AD47</f>
        <v>1.0799999999999998</v>
      </c>
    </row>
    <row r="183" spans="2:3" ht="12.75" customHeight="1">
      <c r="B183" s="100" t="str">
        <f t="shared" si="43"/>
        <v>Poivron</v>
      </c>
      <c r="C183" s="99">
        <f t="shared" si="44"/>
        <v>0.67499999999999993</v>
      </c>
    </row>
    <row r="184" spans="2:3" ht="12.75" customHeight="1">
      <c r="B184" s="100" t="str">
        <f t="shared" si="43"/>
        <v>Oignon</v>
      </c>
      <c r="C184" s="99">
        <f t="shared" si="44"/>
        <v>0.35099999999999998</v>
      </c>
    </row>
    <row r="185" spans="2:3" ht="12.75" customHeight="1">
      <c r="B185" s="100" t="str">
        <f t="shared" si="43"/>
        <v>Ananas</v>
      </c>
      <c r="C185" s="99">
        <f t="shared" si="44"/>
        <v>0.26999999999999996</v>
      </c>
    </row>
    <row r="186" spans="2:3" ht="12.75" customHeight="1">
      <c r="B186" s="100" t="str">
        <f t="shared" si="43"/>
        <v>Creme</v>
      </c>
      <c r="C186" s="99">
        <f t="shared" si="44"/>
        <v>0.26999999999999996</v>
      </c>
    </row>
    <row r="187" spans="2:3" ht="12.75" customHeight="1">
      <c r="B187" s="100" t="str">
        <f t="shared" si="43"/>
        <v>Curry</v>
      </c>
      <c r="C187" s="99">
        <f t="shared" si="44"/>
        <v>5.3999999999999992E-2</v>
      </c>
    </row>
    <row r="188" spans="2:3" ht="12.75" customHeight="1">
      <c r="B188" s="100" t="str">
        <f t="shared" ref="B188:B193" si="45">Z57</f>
        <v>Filet de lieu</v>
      </c>
      <c r="C188" s="99">
        <f t="shared" ref="C188:C193" si="46">AD57</f>
        <v>0</v>
      </c>
    </row>
    <row r="189" spans="2:3" ht="12.75" customHeight="1">
      <c r="B189" s="100" t="str">
        <f t="shared" si="45"/>
        <v>Pâte à frire</v>
      </c>
      <c r="C189" s="99">
        <f t="shared" si="46"/>
        <v>0</v>
      </c>
    </row>
    <row r="190" spans="2:3" ht="12.75" customHeight="1">
      <c r="B190" s="100" t="str">
        <f t="shared" si="45"/>
        <v>Sce tartare</v>
      </c>
      <c r="C190" s="99">
        <f t="shared" si="46"/>
        <v>0</v>
      </c>
    </row>
    <row r="191" spans="2:3" ht="12.75" customHeight="1">
      <c r="B191" s="100">
        <f t="shared" si="45"/>
        <v>0</v>
      </c>
      <c r="C191" s="99">
        <f t="shared" si="46"/>
        <v>0</v>
      </c>
    </row>
    <row r="192" spans="2:3" ht="12.75" customHeight="1">
      <c r="B192" s="100">
        <f t="shared" si="45"/>
        <v>0</v>
      </c>
      <c r="C192" s="99">
        <f t="shared" si="46"/>
        <v>0</v>
      </c>
    </row>
    <row r="193" spans="2:3" ht="12.75" customHeight="1">
      <c r="B193" s="100">
        <f t="shared" si="45"/>
        <v>0</v>
      </c>
      <c r="C193" s="99">
        <f t="shared" si="46"/>
        <v>0</v>
      </c>
    </row>
    <row r="194" spans="2:3" ht="12.75" customHeight="1">
      <c r="B194" s="100" t="str">
        <f t="shared" ref="B194:B199" si="47">Z67</f>
        <v>Filet mignon</v>
      </c>
      <c r="C194" s="99">
        <f t="shared" ref="C194:C199" si="48">AD67</f>
        <v>1.6199999999999999</v>
      </c>
    </row>
    <row r="195" spans="2:3" ht="12.75" customHeight="1">
      <c r="B195" s="100" t="str">
        <f t="shared" si="47"/>
        <v>Poire</v>
      </c>
      <c r="C195" s="99">
        <f t="shared" si="48"/>
        <v>0.53999999999999992</v>
      </c>
    </row>
    <row r="196" spans="2:3" ht="12.75" customHeight="1">
      <c r="B196" s="100" t="str">
        <f t="shared" si="47"/>
        <v>Roquefort</v>
      </c>
      <c r="C196" s="99">
        <f t="shared" si="48"/>
        <v>0.26999999999999996</v>
      </c>
    </row>
    <row r="197" spans="2:3" ht="12.75" customHeight="1">
      <c r="B197" s="100" t="str">
        <f t="shared" si="47"/>
        <v>Creme</v>
      </c>
      <c r="C197" s="99">
        <f t="shared" si="48"/>
        <v>0.26999999999999996</v>
      </c>
    </row>
    <row r="198" spans="2:3" ht="12.75" customHeight="1">
      <c r="B198" s="100">
        <f t="shared" si="47"/>
        <v>0</v>
      </c>
      <c r="C198" s="99">
        <f t="shared" si="48"/>
        <v>0</v>
      </c>
    </row>
    <row r="199" spans="2:3" ht="12.75" customHeight="1">
      <c r="B199" s="100">
        <f t="shared" si="47"/>
        <v>0</v>
      </c>
      <c r="C199" s="99">
        <f t="shared" si="48"/>
        <v>0</v>
      </c>
    </row>
    <row r="200" spans="2:3" ht="12.75" customHeight="1">
      <c r="B200" s="100" t="str">
        <f t="shared" ref="B200:B205" si="49">AF7</f>
        <v>Dinde sauté</v>
      </c>
      <c r="C200" s="99">
        <f t="shared" ref="C200:C205" si="50">AJ7</f>
        <v>6.03</v>
      </c>
    </row>
    <row r="201" spans="2:3" ht="12.75" customHeight="1">
      <c r="B201" s="100" t="str">
        <f t="shared" si="49"/>
        <v>Carottes</v>
      </c>
      <c r="C201" s="99">
        <f t="shared" si="50"/>
        <v>0.54</v>
      </c>
    </row>
    <row r="202" spans="2:3" ht="12.75" customHeight="1">
      <c r="B202" s="100" t="str">
        <f t="shared" si="49"/>
        <v>Poireaux</v>
      </c>
      <c r="C202" s="99">
        <f t="shared" si="50"/>
        <v>0.54</v>
      </c>
    </row>
    <row r="203" spans="2:3" ht="12.75" customHeight="1">
      <c r="B203" s="100" t="str">
        <f t="shared" si="49"/>
        <v>Celeri</v>
      </c>
      <c r="C203" s="99">
        <f t="shared" si="50"/>
        <v>0.54</v>
      </c>
    </row>
    <row r="204" spans="2:3" ht="12.75" customHeight="1">
      <c r="B204" s="100" t="str">
        <f t="shared" si="49"/>
        <v>Champignons</v>
      </c>
      <c r="C204" s="99">
        <f t="shared" si="50"/>
        <v>0.80999999999999994</v>
      </c>
    </row>
    <row r="205" spans="2:3" ht="12.75" customHeight="1">
      <c r="B205" s="100" t="str">
        <f t="shared" si="49"/>
        <v>Oignons</v>
      </c>
      <c r="C205" s="99">
        <f t="shared" si="50"/>
        <v>0.54</v>
      </c>
    </row>
    <row r="206" spans="2:3" ht="12.75" customHeight="1">
      <c r="B206" s="100" t="str">
        <f t="shared" ref="B206:B211" si="51">AF17</f>
        <v>Dinde sauté</v>
      </c>
      <c r="C206" s="99">
        <f t="shared" ref="C206:C211" si="52">AJ17</f>
        <v>6.03</v>
      </c>
    </row>
    <row r="207" spans="2:3" ht="12.75" customHeight="1">
      <c r="B207" s="100" t="str">
        <f t="shared" si="51"/>
        <v>Carottes</v>
      </c>
      <c r="C207" s="99">
        <f t="shared" si="52"/>
        <v>0.54</v>
      </c>
    </row>
    <row r="208" spans="2:3" ht="12.75" customHeight="1">
      <c r="B208" s="100" t="str">
        <f t="shared" si="51"/>
        <v>Poireaux</v>
      </c>
      <c r="C208" s="99">
        <f t="shared" si="52"/>
        <v>0.54</v>
      </c>
    </row>
    <row r="209" spans="2:3" ht="12.75" customHeight="1">
      <c r="B209" s="100" t="str">
        <f t="shared" si="51"/>
        <v>Celeri</v>
      </c>
      <c r="C209" s="99">
        <f t="shared" si="52"/>
        <v>0.54</v>
      </c>
    </row>
    <row r="210" spans="2:3" ht="12.75" customHeight="1">
      <c r="B210" s="100" t="str">
        <f t="shared" si="51"/>
        <v>Champignons</v>
      </c>
      <c r="C210" s="99">
        <f t="shared" si="52"/>
        <v>0.80999999999999994</v>
      </c>
    </row>
    <row r="211" spans="2:3" ht="12.75" customHeight="1">
      <c r="B211" s="100" t="str">
        <f t="shared" si="51"/>
        <v>Oignons</v>
      </c>
      <c r="C211" s="99">
        <f t="shared" si="52"/>
        <v>0.54</v>
      </c>
    </row>
    <row r="212" spans="2:3" ht="12.75" customHeight="1">
      <c r="B212" s="100" t="str">
        <f t="shared" ref="B212:B217" si="53">AF27</f>
        <v>Dinde sauté</v>
      </c>
      <c r="C212" s="99">
        <f t="shared" ref="C212:C217" si="54">AJ27</f>
        <v>6.03</v>
      </c>
    </row>
    <row r="213" spans="2:3" ht="12.75" customHeight="1">
      <c r="B213" s="100" t="str">
        <f t="shared" si="53"/>
        <v>Carottes</v>
      </c>
      <c r="C213" s="99">
        <f t="shared" si="54"/>
        <v>0.54</v>
      </c>
    </row>
    <row r="214" spans="2:3" ht="12.75" customHeight="1">
      <c r="B214" s="100" t="str">
        <f t="shared" si="53"/>
        <v>Poireaux</v>
      </c>
      <c r="C214" s="99">
        <f t="shared" si="54"/>
        <v>0.54</v>
      </c>
    </row>
    <row r="215" spans="2:3" ht="12.75" customHeight="1">
      <c r="B215" s="100" t="str">
        <f t="shared" si="53"/>
        <v>Celeri</v>
      </c>
      <c r="C215" s="99">
        <f t="shared" si="54"/>
        <v>0.54</v>
      </c>
    </row>
    <row r="216" spans="2:3" ht="12.75" customHeight="1">
      <c r="B216" s="100" t="str">
        <f t="shared" si="53"/>
        <v>Champignons</v>
      </c>
      <c r="C216" s="99">
        <f t="shared" si="54"/>
        <v>0.80999999999999994</v>
      </c>
    </row>
    <row r="217" spans="2:3" ht="12.75" customHeight="1">
      <c r="B217" s="100" t="str">
        <f t="shared" si="53"/>
        <v>Oignons</v>
      </c>
      <c r="C217" s="99">
        <f t="shared" si="54"/>
        <v>0.54</v>
      </c>
    </row>
    <row r="218" spans="2:3" ht="12.75" customHeight="1">
      <c r="B218" s="100" t="str">
        <f t="shared" ref="B218:B223" si="55">AF37</f>
        <v>Dinde sauté</v>
      </c>
      <c r="C218" s="99">
        <f t="shared" ref="C218:C223" si="56">AJ37</f>
        <v>6.03</v>
      </c>
    </row>
    <row r="219" spans="2:3" ht="12.75" customHeight="1">
      <c r="B219" s="100" t="str">
        <f t="shared" si="55"/>
        <v>Carottes</v>
      </c>
      <c r="C219" s="99">
        <f t="shared" si="56"/>
        <v>0.54</v>
      </c>
    </row>
    <row r="220" spans="2:3" ht="12.75" customHeight="1">
      <c r="B220" s="100" t="str">
        <f t="shared" si="55"/>
        <v>Poireaux</v>
      </c>
      <c r="C220" s="99">
        <f t="shared" si="56"/>
        <v>0.54</v>
      </c>
    </row>
    <row r="221" spans="2:3" ht="12.75" customHeight="1">
      <c r="B221" s="100" t="str">
        <f t="shared" si="55"/>
        <v>Celeri</v>
      </c>
      <c r="C221" s="99">
        <f t="shared" si="56"/>
        <v>0.54</v>
      </c>
    </row>
    <row r="222" spans="2:3" ht="12.75" customHeight="1">
      <c r="B222" s="100" t="str">
        <f t="shared" si="55"/>
        <v>Champignons</v>
      </c>
      <c r="C222" s="99">
        <f t="shared" si="56"/>
        <v>0.80999999999999994</v>
      </c>
    </row>
    <row r="223" spans="2:3" ht="12.75" customHeight="1">
      <c r="B223" s="100" t="str">
        <f t="shared" si="55"/>
        <v>Oignons</v>
      </c>
      <c r="C223" s="99">
        <f t="shared" si="56"/>
        <v>0.54</v>
      </c>
    </row>
    <row r="224" spans="2:3" ht="12.75" customHeight="1">
      <c r="B224" s="100" t="str">
        <f t="shared" ref="B224:B229" si="57">AF47</f>
        <v>Dinde sauté</v>
      </c>
      <c r="C224" s="99">
        <f t="shared" ref="C224:C229" si="58">AJ47</f>
        <v>6.03</v>
      </c>
    </row>
    <row r="225" spans="2:3" ht="12.75" customHeight="1">
      <c r="B225" s="100" t="str">
        <f t="shared" si="57"/>
        <v>Carottes</v>
      </c>
      <c r="C225" s="99">
        <f t="shared" si="58"/>
        <v>0.54</v>
      </c>
    </row>
    <row r="226" spans="2:3" ht="12.75" customHeight="1">
      <c r="B226" s="100" t="str">
        <f t="shared" si="57"/>
        <v>Poireaux</v>
      </c>
      <c r="C226" s="99">
        <f t="shared" si="58"/>
        <v>0.54</v>
      </c>
    </row>
    <row r="227" spans="2:3" ht="12.75" customHeight="1">
      <c r="B227" s="100" t="str">
        <f t="shared" si="57"/>
        <v>Celeri</v>
      </c>
      <c r="C227" s="99">
        <f t="shared" si="58"/>
        <v>0.54</v>
      </c>
    </row>
    <row r="228" spans="2:3" ht="12.75" customHeight="1">
      <c r="B228" s="100" t="str">
        <f t="shared" si="57"/>
        <v>Champignons</v>
      </c>
      <c r="C228" s="99">
        <f t="shared" si="58"/>
        <v>0.80999999999999994</v>
      </c>
    </row>
    <row r="229" spans="2:3" ht="12.75" customHeight="1">
      <c r="B229" s="100" t="str">
        <f t="shared" si="57"/>
        <v>Oignons</v>
      </c>
      <c r="C229" s="99">
        <f t="shared" si="58"/>
        <v>0.54</v>
      </c>
    </row>
    <row r="230" spans="2:3" ht="12.75" customHeight="1">
      <c r="B230" s="100" t="str">
        <f t="shared" ref="B230:B235" si="59">AF57</f>
        <v>Dinde sauté</v>
      </c>
      <c r="C230" s="99">
        <f t="shared" ref="C230:C235" si="60">AJ57</f>
        <v>6.03</v>
      </c>
    </row>
    <row r="231" spans="2:3" ht="12.75" customHeight="1">
      <c r="B231" s="100" t="str">
        <f t="shared" si="59"/>
        <v>Carottes</v>
      </c>
      <c r="C231" s="99">
        <f t="shared" si="60"/>
        <v>0.54</v>
      </c>
    </row>
    <row r="232" spans="2:3" ht="12.75" customHeight="1">
      <c r="B232" s="100" t="str">
        <f t="shared" si="59"/>
        <v>Poireaux</v>
      </c>
      <c r="C232" s="99">
        <f t="shared" si="60"/>
        <v>0.54</v>
      </c>
    </row>
    <row r="233" spans="2:3" ht="12.75" customHeight="1">
      <c r="B233" s="100" t="str">
        <f t="shared" si="59"/>
        <v>Celeri</v>
      </c>
      <c r="C233" s="99">
        <f t="shared" si="60"/>
        <v>0.54</v>
      </c>
    </row>
    <row r="234" spans="2:3" ht="12.75" customHeight="1">
      <c r="B234" s="100" t="str">
        <f t="shared" si="59"/>
        <v>Champignons</v>
      </c>
      <c r="C234" s="99">
        <f t="shared" si="60"/>
        <v>0.80999999999999994</v>
      </c>
    </row>
    <row r="235" spans="2:3" ht="12.75" customHeight="1">
      <c r="B235" s="100" t="str">
        <f t="shared" si="59"/>
        <v>Oignons</v>
      </c>
      <c r="C235" s="99">
        <f t="shared" si="60"/>
        <v>0.54</v>
      </c>
    </row>
    <row r="236" spans="2:3" ht="12.75" customHeight="1">
      <c r="B236" s="100" t="str">
        <f t="shared" ref="B236:B241" si="61">AF67</f>
        <v>Dinde sauté</v>
      </c>
      <c r="C236" s="99">
        <f t="shared" ref="C236:C241" si="62">AJ67</f>
        <v>6.03</v>
      </c>
    </row>
    <row r="237" spans="2:3" ht="12.75" customHeight="1">
      <c r="B237" s="100" t="str">
        <f t="shared" si="61"/>
        <v>Carottes</v>
      </c>
      <c r="C237" s="99">
        <f t="shared" si="62"/>
        <v>0.54</v>
      </c>
    </row>
    <row r="238" spans="2:3" ht="12.75" customHeight="1">
      <c r="B238" s="100" t="str">
        <f t="shared" si="61"/>
        <v>Poireaux</v>
      </c>
      <c r="C238" s="99">
        <f t="shared" si="62"/>
        <v>0.54</v>
      </c>
    </row>
    <row r="239" spans="2:3" ht="12.75" customHeight="1">
      <c r="B239" s="100" t="str">
        <f t="shared" si="61"/>
        <v>Celeri</v>
      </c>
      <c r="C239" s="99">
        <f t="shared" si="62"/>
        <v>0.54</v>
      </c>
    </row>
    <row r="240" spans="2:3" ht="12.75" customHeight="1">
      <c r="B240" s="100" t="str">
        <f t="shared" si="61"/>
        <v>Champignons</v>
      </c>
      <c r="C240" s="99">
        <f t="shared" si="62"/>
        <v>0.80999999999999994</v>
      </c>
    </row>
    <row r="241" spans="2:3" ht="12.75" customHeight="1">
      <c r="B241" s="100" t="str">
        <f t="shared" si="61"/>
        <v>Oignons</v>
      </c>
      <c r="C241" s="99">
        <f t="shared" si="62"/>
        <v>0.54</v>
      </c>
    </row>
    <row r="242" spans="2:3" ht="12.75" customHeight="1">
      <c r="B242" s="100" t="str">
        <f t="shared" ref="B242:B247" si="63">AL7</f>
        <v>Lieu</v>
      </c>
      <c r="C242" s="99">
        <f t="shared" ref="C242:C247" si="64">AP7</f>
        <v>2.145</v>
      </c>
    </row>
    <row r="243" spans="2:3" ht="12.75" customHeight="1">
      <c r="B243" s="100" t="str">
        <f t="shared" si="63"/>
        <v>Lait de coco</v>
      </c>
      <c r="C243" s="99">
        <f t="shared" si="64"/>
        <v>1.365</v>
      </c>
    </row>
    <row r="244" spans="2:3" ht="12.75" customHeight="1">
      <c r="B244" s="100" t="str">
        <f t="shared" si="63"/>
        <v>Sce soja</v>
      </c>
      <c r="C244" s="99">
        <f t="shared" si="64"/>
        <v>0.39</v>
      </c>
    </row>
    <row r="245" spans="2:3" ht="12.75" customHeight="1">
      <c r="B245" s="100" t="str">
        <f t="shared" si="63"/>
        <v>Sésame</v>
      </c>
      <c r="C245" s="99">
        <f t="shared" si="64"/>
        <v>0</v>
      </c>
    </row>
    <row r="246" spans="2:3" ht="12.75" customHeight="1">
      <c r="B246" s="100">
        <f t="shared" si="63"/>
        <v>0</v>
      </c>
      <c r="C246" s="99">
        <f t="shared" si="64"/>
        <v>0</v>
      </c>
    </row>
    <row r="247" spans="2:3" ht="12.75" customHeight="1">
      <c r="B247" s="100">
        <f t="shared" si="63"/>
        <v>0</v>
      </c>
      <c r="C247" s="99">
        <f t="shared" si="64"/>
        <v>0</v>
      </c>
    </row>
    <row r="248" spans="2:3" ht="12.75" customHeight="1">
      <c r="B248" s="100" t="str">
        <f t="shared" ref="B248:B253" si="65">AL17</f>
        <v>Aubergine</v>
      </c>
      <c r="C248" s="99">
        <f t="shared" ref="C248:C253" si="66">AP17</f>
        <v>2.9249999999999998</v>
      </c>
    </row>
    <row r="249" spans="2:3" ht="12.75" customHeight="1">
      <c r="B249" s="100" t="str">
        <f t="shared" si="65"/>
        <v>Huile olive</v>
      </c>
      <c r="C249" s="99">
        <f t="shared" si="66"/>
        <v>0.42899999999999999</v>
      </c>
    </row>
    <row r="250" spans="2:3" ht="12.75" customHeight="1">
      <c r="B250" s="100" t="str">
        <f t="shared" si="65"/>
        <v>Sel</v>
      </c>
      <c r="C250" s="99">
        <f t="shared" si="66"/>
        <v>7.8E-2</v>
      </c>
    </row>
    <row r="251" spans="2:3" ht="12.75" customHeight="1">
      <c r="B251" s="100" t="str">
        <f t="shared" si="65"/>
        <v>Ail</v>
      </c>
      <c r="C251" s="99">
        <f t="shared" si="66"/>
        <v>7.8E-2</v>
      </c>
    </row>
    <row r="252" spans="2:3" ht="12.75" customHeight="1">
      <c r="B252" s="100" t="str">
        <f t="shared" si="65"/>
        <v>Persil</v>
      </c>
      <c r="C252" s="99">
        <f t="shared" si="66"/>
        <v>7.8E-2</v>
      </c>
    </row>
    <row r="253" spans="2:3" ht="12.75" customHeight="1">
      <c r="B253" s="100" t="str">
        <f t="shared" si="65"/>
        <v>Parmesan</v>
      </c>
      <c r="C253" s="99">
        <f t="shared" si="66"/>
        <v>0.312</v>
      </c>
    </row>
    <row r="254" spans="2:3" ht="12.75" customHeight="1">
      <c r="B254" s="100" t="str">
        <f t="shared" ref="B254:B259" si="67">AL27</f>
        <v>Jambon CHX</v>
      </c>
      <c r="C254" s="99">
        <f t="shared" ref="C254:C259" si="68">AP27</f>
        <v>3.51</v>
      </c>
    </row>
    <row r="255" spans="2:3" ht="12.75" customHeight="1">
      <c r="B255" s="100" t="str">
        <f t="shared" si="67"/>
        <v>Carottes</v>
      </c>
      <c r="C255" s="99">
        <f t="shared" si="68"/>
        <v>0.19500000000000001</v>
      </c>
    </row>
    <row r="256" spans="2:3" ht="12.75" customHeight="1">
      <c r="B256" s="100" t="str">
        <f t="shared" si="67"/>
        <v>Oignons</v>
      </c>
      <c r="C256" s="99">
        <f t="shared" si="68"/>
        <v>0.156</v>
      </c>
    </row>
    <row r="257" spans="2:3" ht="12.75" customHeight="1">
      <c r="B257" s="100" t="str">
        <f t="shared" si="67"/>
        <v>Fond braisage</v>
      </c>
      <c r="C257" s="99">
        <f t="shared" si="68"/>
        <v>3.9E-2</v>
      </c>
    </row>
    <row r="258" spans="2:3" ht="12.75" customHeight="1">
      <c r="B258" s="100">
        <f t="shared" si="67"/>
        <v>0</v>
      </c>
      <c r="C258" s="99">
        <f t="shared" si="68"/>
        <v>0</v>
      </c>
    </row>
    <row r="259" spans="2:3" ht="12.75" customHeight="1">
      <c r="B259" s="100">
        <f t="shared" si="67"/>
        <v>0</v>
      </c>
      <c r="C259" s="99">
        <f t="shared" si="68"/>
        <v>0</v>
      </c>
    </row>
    <row r="260" spans="2:3" ht="12.75" customHeight="1">
      <c r="B260" s="100" t="str">
        <f t="shared" ref="B260:B265" si="69">AL37</f>
        <v>Chou vert</v>
      </c>
      <c r="C260" s="99">
        <f t="shared" ref="C260:C265" si="70">AP37</f>
        <v>2.2229999999999999</v>
      </c>
    </row>
    <row r="261" spans="2:3" ht="12.75" customHeight="1">
      <c r="B261" s="100" t="str">
        <f t="shared" si="69"/>
        <v>Porc palette</v>
      </c>
      <c r="C261" s="99">
        <f t="shared" si="70"/>
        <v>0.58499999999999996</v>
      </c>
    </row>
    <row r="262" spans="2:3" ht="12.75" customHeight="1">
      <c r="B262" s="100" t="str">
        <f t="shared" si="69"/>
        <v>Poitrine fumée</v>
      </c>
      <c r="C262" s="99">
        <f t="shared" si="70"/>
        <v>0.19500000000000001</v>
      </c>
    </row>
    <row r="263" spans="2:3" ht="12.75" customHeight="1">
      <c r="B263" s="100" t="str">
        <f t="shared" si="69"/>
        <v>Saucisse fumée</v>
      </c>
      <c r="C263" s="99">
        <f t="shared" si="70"/>
        <v>0.624</v>
      </c>
    </row>
    <row r="264" spans="2:3" ht="12.75" customHeight="1">
      <c r="B264" s="100" t="str">
        <f t="shared" si="69"/>
        <v>Carotte</v>
      </c>
      <c r="C264" s="99">
        <f t="shared" si="70"/>
        <v>0.11699999999999999</v>
      </c>
    </row>
    <row r="265" spans="2:3" ht="12.75" customHeight="1">
      <c r="B265" s="100" t="str">
        <f t="shared" si="69"/>
        <v>Navet</v>
      </c>
      <c r="C265" s="99">
        <f t="shared" si="70"/>
        <v>0.156</v>
      </c>
    </row>
    <row r="266" spans="2:3" ht="12.75" customHeight="1">
      <c r="B266" s="100" t="str">
        <f t="shared" ref="B266:B271" si="71">AL47</f>
        <v>Chou vert</v>
      </c>
      <c r="C266" s="99">
        <f t="shared" ref="C266:C271" si="72">AP47</f>
        <v>2.2229999999999999</v>
      </c>
    </row>
    <row r="267" spans="2:3" ht="12.75" customHeight="1">
      <c r="B267" s="100" t="str">
        <f t="shared" si="71"/>
        <v>Porc palette</v>
      </c>
      <c r="C267" s="99">
        <f t="shared" si="72"/>
        <v>0.58499999999999996</v>
      </c>
    </row>
    <row r="268" spans="2:3" ht="12.75" customHeight="1">
      <c r="B268" s="100" t="str">
        <f t="shared" si="71"/>
        <v>Poitrine fumée</v>
      </c>
      <c r="C268" s="99">
        <f t="shared" si="72"/>
        <v>0.19500000000000001</v>
      </c>
    </row>
    <row r="269" spans="2:3" ht="12.75" customHeight="1">
      <c r="B269" s="100" t="str">
        <f t="shared" si="71"/>
        <v>Saucisse fumée</v>
      </c>
      <c r="C269" s="99">
        <f t="shared" si="72"/>
        <v>0.624</v>
      </c>
    </row>
    <row r="270" spans="2:3" ht="12.75" customHeight="1">
      <c r="B270" s="100" t="str">
        <f t="shared" si="71"/>
        <v>Carotte</v>
      </c>
      <c r="C270" s="99">
        <f t="shared" si="72"/>
        <v>0.11699999999999999</v>
      </c>
    </row>
    <row r="271" spans="2:3" ht="12.75" customHeight="1">
      <c r="B271" s="100" t="str">
        <f t="shared" si="71"/>
        <v>Navet</v>
      </c>
      <c r="C271" s="99">
        <f t="shared" si="72"/>
        <v>0.156</v>
      </c>
    </row>
    <row r="272" spans="2:3" ht="12.75" customHeight="1">
      <c r="B272" s="100" t="str">
        <f t="shared" ref="B272:B277" si="73">AL57</f>
        <v>Potiron</v>
      </c>
      <c r="C272" s="99">
        <f t="shared" ref="C272:C277" si="74">AP57</f>
        <v>2.34</v>
      </c>
    </row>
    <row r="273" spans="2:3" ht="12.75" customHeight="1">
      <c r="B273" s="100" t="str">
        <f t="shared" si="73"/>
        <v>Oignons</v>
      </c>
      <c r="C273" s="99">
        <f t="shared" si="74"/>
        <v>1.17</v>
      </c>
    </row>
    <row r="274" spans="2:3" ht="12.75" customHeight="1">
      <c r="B274" s="100" t="str">
        <f t="shared" si="73"/>
        <v>Emmental</v>
      </c>
      <c r="C274" s="99">
        <f t="shared" si="74"/>
        <v>0.39</v>
      </c>
    </row>
    <row r="275" spans="2:3" ht="12.75" customHeight="1">
      <c r="B275" s="100" t="str">
        <f t="shared" si="73"/>
        <v>Basilic</v>
      </c>
      <c r="C275" s="99">
        <f t="shared" si="74"/>
        <v>0</v>
      </c>
    </row>
    <row r="276" spans="2:3" ht="12.75" customHeight="1">
      <c r="B276" s="100">
        <f t="shared" si="73"/>
        <v>0</v>
      </c>
      <c r="C276" s="99">
        <f t="shared" si="74"/>
        <v>0</v>
      </c>
    </row>
    <row r="277" spans="2:3" ht="12.75" customHeight="1">
      <c r="B277" s="100">
        <f t="shared" si="73"/>
        <v>0</v>
      </c>
      <c r="C277" s="99">
        <f t="shared" si="74"/>
        <v>0</v>
      </c>
    </row>
    <row r="278" spans="2:3" ht="12.75" customHeight="1">
      <c r="B278" s="100" t="str">
        <f t="shared" ref="B278:B283" si="75">AL67</f>
        <v>Courge</v>
      </c>
      <c r="C278" s="99">
        <f t="shared" ref="C278:C283" si="76">AP67</f>
        <v>0</v>
      </c>
    </row>
    <row r="279" spans="2:3" ht="12.75" customHeight="1">
      <c r="B279" s="100" t="str">
        <f t="shared" si="75"/>
        <v>Miel</v>
      </c>
      <c r="C279" s="99">
        <f t="shared" si="76"/>
        <v>0</v>
      </c>
    </row>
    <row r="280" spans="2:3" ht="12.75" customHeight="1">
      <c r="B280" s="100" t="str">
        <f t="shared" si="75"/>
        <v>Romarin</v>
      </c>
      <c r="C280" s="99">
        <f t="shared" si="76"/>
        <v>0</v>
      </c>
    </row>
    <row r="281" spans="2:3" ht="12.75" customHeight="1">
      <c r="B281" s="100">
        <f t="shared" si="75"/>
        <v>0</v>
      </c>
      <c r="C281" s="99">
        <f t="shared" si="76"/>
        <v>0</v>
      </c>
    </row>
    <row r="282" spans="2:3" ht="12.75" customHeight="1">
      <c r="B282" s="100">
        <f t="shared" si="75"/>
        <v>0</v>
      </c>
      <c r="C282" s="99">
        <f t="shared" si="76"/>
        <v>0</v>
      </c>
    </row>
    <row r="283" spans="2:3" ht="12.75" customHeight="1">
      <c r="B283" s="100">
        <f t="shared" si="75"/>
        <v>0</v>
      </c>
      <c r="C283" s="99">
        <f t="shared" si="76"/>
        <v>0</v>
      </c>
    </row>
    <row r="284" spans="2:3" ht="12.75" customHeight="1">
      <c r="B284" s="98" t="str">
        <f>AR7</f>
        <v>Steak haché</v>
      </c>
      <c r="C284" s="99">
        <f>AV7</f>
        <v>6.3000000000000007</v>
      </c>
    </row>
    <row r="285" spans="2:3" ht="12.75" customHeight="1">
      <c r="B285" s="98" t="str">
        <f>AR12</f>
        <v>Bavette flanchet</v>
      </c>
      <c r="C285" s="99">
        <f>AV12</f>
        <v>7.5</v>
      </c>
    </row>
    <row r="286" spans="2:3" ht="12.75" customHeight="1">
      <c r="B286" s="98" t="str">
        <f>AR17</f>
        <v>Steak haché</v>
      </c>
      <c r="C286" s="99">
        <f>AV17</f>
        <v>7.5</v>
      </c>
    </row>
    <row r="287" spans="2:3" ht="12.75" customHeight="1">
      <c r="B287" s="98" t="str">
        <f>AR22</f>
        <v>Bavette flanchet</v>
      </c>
      <c r="C287" s="99">
        <f>AV22</f>
        <v>7.5</v>
      </c>
    </row>
    <row r="288" spans="2:3" ht="12.75" customHeight="1">
      <c r="B288" s="98" t="str">
        <f>AR27</f>
        <v>Steak haché</v>
      </c>
      <c r="C288" s="99">
        <f>AV27</f>
        <v>7.5</v>
      </c>
    </row>
    <row r="289" spans="2:3" ht="12.75" customHeight="1">
      <c r="B289" s="98" t="str">
        <f>AR32</f>
        <v>Bavette flanchet</v>
      </c>
      <c r="C289" s="99">
        <f>AV32</f>
        <v>7.5</v>
      </c>
    </row>
    <row r="290" spans="2:3" ht="12.75" customHeight="1">
      <c r="B290" s="98" t="str">
        <f>AR37</f>
        <v>Steak haché</v>
      </c>
      <c r="C290" s="99">
        <f>AV37</f>
        <v>7.5</v>
      </c>
    </row>
    <row r="291" spans="2:3" ht="12.75" customHeight="1">
      <c r="B291" s="98" t="str">
        <f>AR42</f>
        <v>Bavette flanchet</v>
      </c>
      <c r="C291" s="99">
        <f>AV42</f>
        <v>7.5</v>
      </c>
    </row>
    <row r="292" spans="2:3" ht="12.75" customHeight="1">
      <c r="B292" s="98" t="str">
        <f>AR47</f>
        <v>Steak haché</v>
      </c>
      <c r="C292" s="99">
        <f>AV47</f>
        <v>7.5</v>
      </c>
    </row>
    <row r="293" spans="2:3" ht="12.75" customHeight="1">
      <c r="B293" s="98" t="str">
        <f>AR52</f>
        <v>Bavette flanchet</v>
      </c>
      <c r="C293" s="99">
        <f>AV52</f>
        <v>7.5</v>
      </c>
    </row>
    <row r="294" spans="2:3" ht="12.75" customHeight="1">
      <c r="B294" s="98" t="str">
        <f>AR57</f>
        <v>Steak haché</v>
      </c>
      <c r="C294" s="99">
        <f>AV57</f>
        <v>7.5</v>
      </c>
    </row>
    <row r="295" spans="2:3" ht="12.75" customHeight="1">
      <c r="B295" s="98" t="str">
        <f>AR62</f>
        <v>Bavette flanchet</v>
      </c>
      <c r="C295" s="99">
        <f>AV62</f>
        <v>7.5</v>
      </c>
    </row>
    <row r="296" spans="2:3" ht="12.75" customHeight="1">
      <c r="B296" s="98" t="str">
        <f>AR67</f>
        <v>Steak haché</v>
      </c>
      <c r="C296" s="99">
        <f>AV67</f>
        <v>7.5</v>
      </c>
    </row>
    <row r="297" spans="2:3" ht="12.75" customHeight="1">
      <c r="B297" s="98" t="str">
        <f>AR72</f>
        <v>Bavette flanchet</v>
      </c>
      <c r="C297" s="99">
        <f>AV72</f>
        <v>7.5</v>
      </c>
    </row>
    <row r="298" spans="2:3" ht="12.75" customHeight="1">
      <c r="B298" s="98" t="str">
        <f>AX7</f>
        <v>Frites</v>
      </c>
      <c r="C298" s="99">
        <f>BB7</f>
        <v>36</v>
      </c>
    </row>
    <row r="299" spans="2:3" ht="12.75" customHeight="1">
      <c r="B299" s="98" t="str">
        <f>AX12</f>
        <v>Bun's</v>
      </c>
      <c r="C299" s="99">
        <f>BB12</f>
        <v>2.6999999999999993</v>
      </c>
    </row>
    <row r="300" spans="2:3" ht="12.75" customHeight="1">
      <c r="B300" s="98" t="str">
        <f>AX17</f>
        <v>Frites</v>
      </c>
      <c r="C300" s="99">
        <f>BB17</f>
        <v>36</v>
      </c>
    </row>
    <row r="301" spans="2:3" ht="12.75" customHeight="1">
      <c r="B301" s="98" t="str">
        <f>AX22</f>
        <v>Bun's</v>
      </c>
      <c r="C301" s="99">
        <f>BB22</f>
        <v>2.6999999999999993</v>
      </c>
    </row>
    <row r="302" spans="2:3" ht="12.75" customHeight="1">
      <c r="B302" s="98" t="str">
        <f>AX27</f>
        <v>Frites</v>
      </c>
      <c r="C302" s="99">
        <f>BB27</f>
        <v>36</v>
      </c>
    </row>
    <row r="303" spans="2:3" ht="12.75" customHeight="1">
      <c r="B303" s="98" t="str">
        <f>AX32</f>
        <v>Bun's</v>
      </c>
      <c r="C303" s="99">
        <f>BB32</f>
        <v>2.6999999999999993</v>
      </c>
    </row>
    <row r="304" spans="2:3" ht="12.75" customHeight="1">
      <c r="B304" s="98" t="str">
        <f>AX37</f>
        <v>Frites</v>
      </c>
      <c r="C304" s="99">
        <f>BB37</f>
        <v>36</v>
      </c>
    </row>
    <row r="305" spans="2:3" ht="12.75" customHeight="1">
      <c r="B305" s="98" t="str">
        <f>AX42</f>
        <v>Bun's</v>
      </c>
      <c r="C305" s="99">
        <f>BB42</f>
        <v>2.6999999999999993</v>
      </c>
    </row>
    <row r="306" spans="2:3" ht="12.75" customHeight="1">
      <c r="B306" s="98" t="str">
        <f>AX47</f>
        <v>Frites</v>
      </c>
      <c r="C306" s="99">
        <f>BB47</f>
        <v>36</v>
      </c>
    </row>
    <row r="307" spans="2:3" ht="12.75" customHeight="1">
      <c r="B307" s="98" t="str">
        <f>AX52</f>
        <v>Bun's</v>
      </c>
      <c r="C307" s="99">
        <f>BB52</f>
        <v>2.6999999999999993</v>
      </c>
    </row>
    <row r="308" spans="2:3" ht="12.75" customHeight="1">
      <c r="B308" s="98" t="str">
        <f>AX57</f>
        <v>Frites</v>
      </c>
      <c r="C308" s="99">
        <f>BB57</f>
        <v>36</v>
      </c>
    </row>
    <row r="309" spans="2:3" ht="12.75" customHeight="1">
      <c r="B309" s="98" t="str">
        <f>AX62</f>
        <v>Bun's</v>
      </c>
      <c r="C309" s="99">
        <f>BB62</f>
        <v>2.6999999999999993</v>
      </c>
    </row>
    <row r="310" spans="2:3" ht="12.75" customHeight="1">
      <c r="B310" s="98" t="str">
        <f>AX67</f>
        <v>Frites</v>
      </c>
      <c r="C310" s="99">
        <f>BB67</f>
        <v>36</v>
      </c>
    </row>
    <row r="311" spans="2:3" ht="12.75" customHeight="1">
      <c r="B311" s="98" t="str">
        <f>AX72</f>
        <v>Bun's</v>
      </c>
      <c r="C311" s="99">
        <f>BB72</f>
        <v>2.6999999999999993</v>
      </c>
    </row>
    <row r="312" spans="2:3" ht="12.75" customHeight="1">
      <c r="B312" s="98" t="str">
        <f>BD7</f>
        <v>Riz</v>
      </c>
      <c r="C312" s="99">
        <f>BH7</f>
        <v>1.7999999999999998</v>
      </c>
    </row>
    <row r="313" spans="2:3" ht="12.75" customHeight="1">
      <c r="B313" s="98" t="str">
        <f>BD12</f>
        <v>PDT</v>
      </c>
      <c r="C313" s="99">
        <f>BH12</f>
        <v>6.3000000000000007</v>
      </c>
    </row>
    <row r="314" spans="2:3" ht="12.75" customHeight="1">
      <c r="B314" s="98" t="str">
        <f>BD17</f>
        <v>Riz</v>
      </c>
      <c r="C314" s="99">
        <f>BH17</f>
        <v>1.7999999999999998</v>
      </c>
    </row>
    <row r="315" spans="2:3" ht="12.75" customHeight="1">
      <c r="B315" s="98" t="str">
        <f>BD22</f>
        <v>PDT</v>
      </c>
      <c r="C315" s="99">
        <f>BH22</f>
        <v>6.3000000000000007</v>
      </c>
    </row>
    <row r="316" spans="2:3" ht="12.75" customHeight="1">
      <c r="B316" s="98" t="str">
        <f>BD27</f>
        <v>Riz</v>
      </c>
      <c r="C316" s="99">
        <f>BH27</f>
        <v>1.7999999999999998</v>
      </c>
    </row>
    <row r="317" spans="2:3" ht="12.75" customHeight="1">
      <c r="B317" s="98" t="str">
        <f>BD32</f>
        <v>PDT</v>
      </c>
      <c r="C317" s="99">
        <f>BH32</f>
        <v>6.3000000000000007</v>
      </c>
    </row>
    <row r="318" spans="2:3" ht="12.75" customHeight="1">
      <c r="B318" s="98" t="str">
        <f>BD37</f>
        <v>Riz</v>
      </c>
      <c r="C318" s="99">
        <f>BH37</f>
        <v>1.7999999999999998</v>
      </c>
    </row>
    <row r="319" spans="2:3" ht="12.75" customHeight="1">
      <c r="B319" s="98" t="str">
        <f>BD42</f>
        <v>PDT</v>
      </c>
      <c r="C319" s="99">
        <f>BH42</f>
        <v>6.3000000000000007</v>
      </c>
    </row>
    <row r="320" spans="2:3" ht="12.75" customHeight="1">
      <c r="B320" s="98" t="str">
        <f>BD47</f>
        <v>Riz</v>
      </c>
      <c r="C320" s="99">
        <f>BH47</f>
        <v>1.7999999999999998</v>
      </c>
    </row>
    <row r="321" spans="2:3" ht="12.75" customHeight="1">
      <c r="B321" s="98" t="str">
        <f>BD52</f>
        <v>PDT</v>
      </c>
      <c r="C321" s="99">
        <f>BH52</f>
        <v>6.3000000000000007</v>
      </c>
    </row>
    <row r="322" spans="2:3" ht="12.75" customHeight="1">
      <c r="B322" s="98" t="str">
        <f>BD57</f>
        <v>Riz</v>
      </c>
      <c r="C322" s="99">
        <f>BH57</f>
        <v>1.7999999999999998</v>
      </c>
    </row>
    <row r="323" spans="2:3" ht="12.75" customHeight="1">
      <c r="B323" s="98" t="str">
        <f>BD62</f>
        <v>PDT</v>
      </c>
      <c r="C323" s="99">
        <f>BH62</f>
        <v>6.3000000000000007</v>
      </c>
    </row>
    <row r="324" spans="2:3" ht="12.75" customHeight="1">
      <c r="B324" s="98" t="str">
        <f>BD67</f>
        <v>Riz</v>
      </c>
      <c r="C324" s="99">
        <f>BH67</f>
        <v>1.7999999999999998</v>
      </c>
    </row>
    <row r="325" spans="2:3" ht="12.75" customHeight="1">
      <c r="B325" s="98" t="str">
        <f>BD72</f>
        <v>PDT</v>
      </c>
      <c r="C325" s="99">
        <f>BH72</f>
        <v>6.3000000000000007</v>
      </c>
    </row>
    <row r="326" spans="2:3" ht="12.75" customHeight="1">
      <c r="B326" s="100" t="str">
        <f>H12</f>
        <v>Lamelle encornet</v>
      </c>
      <c r="C326" s="99">
        <f>SUM(L12+L22+L32+L42+L52+L62+L72)</f>
        <v>44.100000000000009</v>
      </c>
    </row>
    <row r="327" spans="2:3" ht="12.75" customHeight="1">
      <c r="B327" s="100" t="str">
        <f>H67</f>
        <v>Ingr1</v>
      </c>
      <c r="C327" s="99">
        <f>SUM(L7+L17+L27+L37+L47+L57+L67)</f>
        <v>27.299999999999997</v>
      </c>
    </row>
  </sheetData>
  <mergeCells count="515">
    <mergeCell ref="AV72:AW72"/>
    <mergeCell ref="AX72:AZ72"/>
    <mergeCell ref="BB72:BC72"/>
    <mergeCell ref="BD72:BF72"/>
    <mergeCell ref="BH72:BI72"/>
    <mergeCell ref="AJ71:AK71"/>
    <mergeCell ref="AP71:AQ71"/>
    <mergeCell ref="B72:E72"/>
    <mergeCell ref="F72:G72"/>
    <mergeCell ref="L72:M72"/>
    <mergeCell ref="R72:S72"/>
    <mergeCell ref="X72:Y72"/>
    <mergeCell ref="AD72:AE72"/>
    <mergeCell ref="AJ72:AK72"/>
    <mergeCell ref="AP72:AQ72"/>
    <mergeCell ref="AP69:AQ69"/>
    <mergeCell ref="B70:E71"/>
    <mergeCell ref="R70:S70"/>
    <mergeCell ref="X70:Y70"/>
    <mergeCell ref="AD70:AE70"/>
    <mergeCell ref="AJ70:AK70"/>
    <mergeCell ref="AP70:AQ70"/>
    <mergeCell ref="R71:S71"/>
    <mergeCell ref="X71:Y71"/>
    <mergeCell ref="AD71:AE71"/>
    <mergeCell ref="B69:E69"/>
    <mergeCell ref="F69:G69"/>
    <mergeCell ref="R69:S69"/>
    <mergeCell ref="X69:Y69"/>
    <mergeCell ref="AD69:AE69"/>
    <mergeCell ref="AJ69:AK69"/>
    <mergeCell ref="AJ68:AK68"/>
    <mergeCell ref="AP68:AQ68"/>
    <mergeCell ref="AR68:AW68"/>
    <mergeCell ref="AX68:BA68"/>
    <mergeCell ref="BB68:BC68"/>
    <mergeCell ref="BD68:BI68"/>
    <mergeCell ref="B68:D68"/>
    <mergeCell ref="E68:G68"/>
    <mergeCell ref="H68:M68"/>
    <mergeCell ref="R68:S68"/>
    <mergeCell ref="X68:Y68"/>
    <mergeCell ref="AD68:AE68"/>
    <mergeCell ref="AR67:AT67"/>
    <mergeCell ref="AV67:AW67"/>
    <mergeCell ref="AX67:AZ67"/>
    <mergeCell ref="BB67:BC67"/>
    <mergeCell ref="BD67:BF67"/>
    <mergeCell ref="BH67:BI67"/>
    <mergeCell ref="L67:M67"/>
    <mergeCell ref="R67:S67"/>
    <mergeCell ref="X67:Y67"/>
    <mergeCell ref="AD67:AE67"/>
    <mergeCell ref="AJ67:AK67"/>
    <mergeCell ref="AP67:AQ67"/>
    <mergeCell ref="B66:D66"/>
    <mergeCell ref="E66:F66"/>
    <mergeCell ref="G66:G67"/>
    <mergeCell ref="B67:D67"/>
    <mergeCell ref="E67:F67"/>
    <mergeCell ref="H67:J67"/>
    <mergeCell ref="Z63:AE63"/>
    <mergeCell ref="AF63:AK63"/>
    <mergeCell ref="AL63:AQ63"/>
    <mergeCell ref="AX63:BC63"/>
    <mergeCell ref="BD63:BI63"/>
    <mergeCell ref="AV62:AW62"/>
    <mergeCell ref="AX62:AZ62"/>
    <mergeCell ref="BB62:BC62"/>
    <mergeCell ref="BD62:BF62"/>
    <mergeCell ref="BH62:BI62"/>
    <mergeCell ref="B63:C63"/>
    <mergeCell ref="D63:E63"/>
    <mergeCell ref="H63:M63"/>
    <mergeCell ref="N63:S63"/>
    <mergeCell ref="T63:Y63"/>
    <mergeCell ref="B62:E62"/>
    <mergeCell ref="F62:G62"/>
    <mergeCell ref="L62:M62"/>
    <mergeCell ref="R62:S62"/>
    <mergeCell ref="X62:Y62"/>
    <mergeCell ref="AD62:AE62"/>
    <mergeCell ref="AJ62:AK62"/>
    <mergeCell ref="AP62:AQ62"/>
    <mergeCell ref="AR63:AW63"/>
    <mergeCell ref="AP59:AQ59"/>
    <mergeCell ref="B60:E61"/>
    <mergeCell ref="R60:S60"/>
    <mergeCell ref="X60:Y60"/>
    <mergeCell ref="AD60:AE60"/>
    <mergeCell ref="AJ60:AK60"/>
    <mergeCell ref="AP60:AQ60"/>
    <mergeCell ref="R61:S61"/>
    <mergeCell ref="X61:Y61"/>
    <mergeCell ref="AD61:AE61"/>
    <mergeCell ref="B59:E59"/>
    <mergeCell ref="F59:G59"/>
    <mergeCell ref="R59:S59"/>
    <mergeCell ref="X59:Y59"/>
    <mergeCell ref="AD59:AE59"/>
    <mergeCell ref="AJ59:AK59"/>
    <mergeCell ref="AJ61:AK61"/>
    <mergeCell ref="AP61:AQ61"/>
    <mergeCell ref="AJ58:AK58"/>
    <mergeCell ref="AP58:AQ58"/>
    <mergeCell ref="AR58:AW58"/>
    <mergeCell ref="AX58:BA58"/>
    <mergeCell ref="BB58:BC58"/>
    <mergeCell ref="BD58:BI58"/>
    <mergeCell ref="B58:D58"/>
    <mergeCell ref="E58:G58"/>
    <mergeCell ref="H58:M58"/>
    <mergeCell ref="R58:S58"/>
    <mergeCell ref="X58:Y58"/>
    <mergeCell ref="AD58:AE58"/>
    <mergeCell ref="AR57:AT57"/>
    <mergeCell ref="AV57:AW57"/>
    <mergeCell ref="AX57:AZ57"/>
    <mergeCell ref="BB57:BC57"/>
    <mergeCell ref="BD57:BF57"/>
    <mergeCell ref="BH57:BI57"/>
    <mergeCell ref="L57:M57"/>
    <mergeCell ref="R57:S57"/>
    <mergeCell ref="X57:Y57"/>
    <mergeCell ref="AD57:AE57"/>
    <mergeCell ref="AJ57:AK57"/>
    <mergeCell ref="AP57:AQ57"/>
    <mergeCell ref="B56:D56"/>
    <mergeCell ref="E56:F56"/>
    <mergeCell ref="G56:G57"/>
    <mergeCell ref="B57:D57"/>
    <mergeCell ref="E57:F57"/>
    <mergeCell ref="H57:J57"/>
    <mergeCell ref="Z53:AE53"/>
    <mergeCell ref="AF53:AK53"/>
    <mergeCell ref="AL53:AQ53"/>
    <mergeCell ref="AX53:BC53"/>
    <mergeCell ref="BD53:BI53"/>
    <mergeCell ref="AV52:AW52"/>
    <mergeCell ref="AX52:AZ52"/>
    <mergeCell ref="BB52:BC52"/>
    <mergeCell ref="BD52:BF52"/>
    <mergeCell ref="BH52:BI52"/>
    <mergeCell ref="B53:C53"/>
    <mergeCell ref="D53:E53"/>
    <mergeCell ref="H53:M53"/>
    <mergeCell ref="N53:S53"/>
    <mergeCell ref="T53:Y53"/>
    <mergeCell ref="B52:E52"/>
    <mergeCell ref="F52:G52"/>
    <mergeCell ref="L52:M52"/>
    <mergeCell ref="R52:S52"/>
    <mergeCell ref="X52:Y52"/>
    <mergeCell ref="AD52:AE52"/>
    <mergeCell ref="AJ52:AK52"/>
    <mergeCell ref="AP52:AQ52"/>
    <mergeCell ref="AR53:AW53"/>
    <mergeCell ref="AP49:AQ49"/>
    <mergeCell ref="B50:E51"/>
    <mergeCell ref="R50:S50"/>
    <mergeCell ref="X50:Y50"/>
    <mergeCell ref="AD50:AE50"/>
    <mergeCell ref="AJ50:AK50"/>
    <mergeCell ref="AP50:AQ50"/>
    <mergeCell ref="R51:S51"/>
    <mergeCell ref="X51:Y51"/>
    <mergeCell ref="AD51:AE51"/>
    <mergeCell ref="B49:E49"/>
    <mergeCell ref="F49:G49"/>
    <mergeCell ref="R49:S49"/>
    <mergeCell ref="X49:Y49"/>
    <mergeCell ref="AD49:AE49"/>
    <mergeCell ref="AJ49:AK49"/>
    <mergeCell ref="AJ51:AK51"/>
    <mergeCell ref="AP51:AQ51"/>
    <mergeCell ref="AJ48:AK48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R47:AT47"/>
    <mergeCell ref="AV47:AW47"/>
    <mergeCell ref="AX47:AZ47"/>
    <mergeCell ref="BB47:BC47"/>
    <mergeCell ref="BD47:BF47"/>
    <mergeCell ref="BH47:BI47"/>
    <mergeCell ref="L47:M47"/>
    <mergeCell ref="R47:S47"/>
    <mergeCell ref="X47:Y47"/>
    <mergeCell ref="AD47:AE47"/>
    <mergeCell ref="AJ47:AK47"/>
    <mergeCell ref="AP47:AQ47"/>
    <mergeCell ref="B46:D46"/>
    <mergeCell ref="E46:F46"/>
    <mergeCell ref="G46:G47"/>
    <mergeCell ref="B47:D47"/>
    <mergeCell ref="E47:F47"/>
    <mergeCell ref="H47:J47"/>
    <mergeCell ref="Z43:AE43"/>
    <mergeCell ref="AF43:AK43"/>
    <mergeCell ref="AL43:AQ43"/>
    <mergeCell ref="AX43:BC43"/>
    <mergeCell ref="BD43:BI43"/>
    <mergeCell ref="AV42:AW42"/>
    <mergeCell ref="AX42:AZ42"/>
    <mergeCell ref="BB42:BC42"/>
    <mergeCell ref="BD42:BF42"/>
    <mergeCell ref="BH42:BI42"/>
    <mergeCell ref="B43:C43"/>
    <mergeCell ref="D43:E43"/>
    <mergeCell ref="H43:M43"/>
    <mergeCell ref="N43:S43"/>
    <mergeCell ref="T43:Y43"/>
    <mergeCell ref="B42:E42"/>
    <mergeCell ref="F42:G42"/>
    <mergeCell ref="L42:M42"/>
    <mergeCell ref="R42:S42"/>
    <mergeCell ref="X42:Y42"/>
    <mergeCell ref="AD42:AE42"/>
    <mergeCell ref="AJ42:AK42"/>
    <mergeCell ref="AP42:AQ42"/>
    <mergeCell ref="AR43:AW43"/>
    <mergeCell ref="AP39:AQ39"/>
    <mergeCell ref="B40:E41"/>
    <mergeCell ref="R40:S40"/>
    <mergeCell ref="X40:Y40"/>
    <mergeCell ref="AD40:AE40"/>
    <mergeCell ref="AJ40:AK40"/>
    <mergeCell ref="AP40:AQ40"/>
    <mergeCell ref="R41:S41"/>
    <mergeCell ref="X41:Y41"/>
    <mergeCell ref="AD41:AE41"/>
    <mergeCell ref="B39:E39"/>
    <mergeCell ref="F39:G39"/>
    <mergeCell ref="R39:S39"/>
    <mergeCell ref="X39:Y39"/>
    <mergeCell ref="AD39:AE39"/>
    <mergeCell ref="AJ39:AK39"/>
    <mergeCell ref="AJ41:AK41"/>
    <mergeCell ref="AP41:AQ41"/>
    <mergeCell ref="AJ38:AK38"/>
    <mergeCell ref="AP38:AQ38"/>
    <mergeCell ref="AR38:AW38"/>
    <mergeCell ref="AX38:BA38"/>
    <mergeCell ref="BB38:BC38"/>
    <mergeCell ref="BD38:BI38"/>
    <mergeCell ref="B38:D38"/>
    <mergeCell ref="E38:G38"/>
    <mergeCell ref="H38:M38"/>
    <mergeCell ref="R38:S38"/>
    <mergeCell ref="X38:Y38"/>
    <mergeCell ref="AD38:AE38"/>
    <mergeCell ref="AR37:AT37"/>
    <mergeCell ref="AV37:AW37"/>
    <mergeCell ref="AX37:AZ37"/>
    <mergeCell ref="BB37:BC37"/>
    <mergeCell ref="BD37:BF37"/>
    <mergeCell ref="BH37:BI37"/>
    <mergeCell ref="L37:M37"/>
    <mergeCell ref="R37:S37"/>
    <mergeCell ref="X37:Y37"/>
    <mergeCell ref="AD37:AE37"/>
    <mergeCell ref="AJ37:AK37"/>
    <mergeCell ref="AP37:AQ37"/>
    <mergeCell ref="B36:D36"/>
    <mergeCell ref="E36:F36"/>
    <mergeCell ref="G36:G37"/>
    <mergeCell ref="B37:D37"/>
    <mergeCell ref="E37:F37"/>
    <mergeCell ref="H37:J37"/>
    <mergeCell ref="Z33:AE33"/>
    <mergeCell ref="AF33:AK33"/>
    <mergeCell ref="AL33:AQ33"/>
    <mergeCell ref="AX33:BC33"/>
    <mergeCell ref="BD33:BI33"/>
    <mergeCell ref="AV32:AW32"/>
    <mergeCell ref="AX32:AZ32"/>
    <mergeCell ref="BB32:BC32"/>
    <mergeCell ref="BD32:BF32"/>
    <mergeCell ref="BH32:BI32"/>
    <mergeCell ref="B33:C33"/>
    <mergeCell ref="D33:E33"/>
    <mergeCell ref="H33:M33"/>
    <mergeCell ref="N33:S33"/>
    <mergeCell ref="T33:Y33"/>
    <mergeCell ref="B32:E32"/>
    <mergeCell ref="F32:G32"/>
    <mergeCell ref="L32:M32"/>
    <mergeCell ref="R32:S32"/>
    <mergeCell ref="X32:Y32"/>
    <mergeCell ref="AD32:AE32"/>
    <mergeCell ref="AJ32:AK32"/>
    <mergeCell ref="AP32:AQ32"/>
    <mergeCell ref="AR33:AW33"/>
    <mergeCell ref="AP29:AQ29"/>
    <mergeCell ref="B30:E31"/>
    <mergeCell ref="R30:S30"/>
    <mergeCell ref="X30:Y30"/>
    <mergeCell ref="AD30:AE30"/>
    <mergeCell ref="AJ30:AK30"/>
    <mergeCell ref="AP30:AQ30"/>
    <mergeCell ref="R31:S31"/>
    <mergeCell ref="X31:Y31"/>
    <mergeCell ref="AD31:AE31"/>
    <mergeCell ref="B29:E29"/>
    <mergeCell ref="F29:G29"/>
    <mergeCell ref="R29:S29"/>
    <mergeCell ref="X29:Y29"/>
    <mergeCell ref="AD29:AE29"/>
    <mergeCell ref="AJ29:AK29"/>
    <mergeCell ref="AJ31:AK31"/>
    <mergeCell ref="AP31:AQ31"/>
    <mergeCell ref="AJ28:AK28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R27:AT27"/>
    <mergeCell ref="AV27:AW27"/>
    <mergeCell ref="AX27:AZ27"/>
    <mergeCell ref="BB27:BC27"/>
    <mergeCell ref="BD27:BF27"/>
    <mergeCell ref="BH27:BI27"/>
    <mergeCell ref="L27:M27"/>
    <mergeCell ref="R27:S27"/>
    <mergeCell ref="X27:Y27"/>
    <mergeCell ref="AD27:AE27"/>
    <mergeCell ref="AJ27:AK27"/>
    <mergeCell ref="AP27:AQ27"/>
    <mergeCell ref="B26:D26"/>
    <mergeCell ref="E26:F26"/>
    <mergeCell ref="G26:G27"/>
    <mergeCell ref="B27:D27"/>
    <mergeCell ref="E27:F27"/>
    <mergeCell ref="H27:J27"/>
    <mergeCell ref="Z23:AE23"/>
    <mergeCell ref="AF23:AK23"/>
    <mergeCell ref="AL23:AQ23"/>
    <mergeCell ref="AX23:BC23"/>
    <mergeCell ref="BD23:BI23"/>
    <mergeCell ref="AV22:AW22"/>
    <mergeCell ref="AX22:AZ22"/>
    <mergeCell ref="BB22:BC22"/>
    <mergeCell ref="BD22:BF22"/>
    <mergeCell ref="BH22:BI22"/>
    <mergeCell ref="B23:C23"/>
    <mergeCell ref="D23:E23"/>
    <mergeCell ref="H23:M23"/>
    <mergeCell ref="N23:S23"/>
    <mergeCell ref="T23:Y23"/>
    <mergeCell ref="B22:E22"/>
    <mergeCell ref="F22:G22"/>
    <mergeCell ref="L22:M22"/>
    <mergeCell ref="R22:S22"/>
    <mergeCell ref="X22:Y22"/>
    <mergeCell ref="AD22:AE22"/>
    <mergeCell ref="AJ22:AK22"/>
    <mergeCell ref="AP22:AQ22"/>
    <mergeCell ref="AR23:AW23"/>
    <mergeCell ref="AP19:AQ19"/>
    <mergeCell ref="B20:E21"/>
    <mergeCell ref="R20:S20"/>
    <mergeCell ref="X20:Y20"/>
    <mergeCell ref="AD20:AE20"/>
    <mergeCell ref="AJ20:AK20"/>
    <mergeCell ref="AP20:AQ20"/>
    <mergeCell ref="R21:S21"/>
    <mergeCell ref="X21:Y21"/>
    <mergeCell ref="AD21:AE21"/>
    <mergeCell ref="B19:E19"/>
    <mergeCell ref="F19:G19"/>
    <mergeCell ref="R19:S19"/>
    <mergeCell ref="X19:Y19"/>
    <mergeCell ref="AD19:AE19"/>
    <mergeCell ref="AJ19:AK19"/>
    <mergeCell ref="AJ21:AK21"/>
    <mergeCell ref="AP21:AQ21"/>
    <mergeCell ref="AJ18:AK18"/>
    <mergeCell ref="AP18:AQ18"/>
    <mergeCell ref="AR18:AW18"/>
    <mergeCell ref="AX18:BA18"/>
    <mergeCell ref="BB18:BC18"/>
    <mergeCell ref="BD18:BI18"/>
    <mergeCell ref="B18:D18"/>
    <mergeCell ref="E18:G18"/>
    <mergeCell ref="H18:M18"/>
    <mergeCell ref="R18:S18"/>
    <mergeCell ref="X18:Y18"/>
    <mergeCell ref="AD18:AE18"/>
    <mergeCell ref="AR17:AT17"/>
    <mergeCell ref="AV17:AW17"/>
    <mergeCell ref="AX17:AZ17"/>
    <mergeCell ref="BB17:BC17"/>
    <mergeCell ref="BD17:BF17"/>
    <mergeCell ref="BH17:BI17"/>
    <mergeCell ref="L17:M17"/>
    <mergeCell ref="R17:S17"/>
    <mergeCell ref="X17:Y17"/>
    <mergeCell ref="AD17:AE17"/>
    <mergeCell ref="AJ17:AK17"/>
    <mergeCell ref="AP17:AQ17"/>
    <mergeCell ref="B16:D16"/>
    <mergeCell ref="E16:F16"/>
    <mergeCell ref="G16:G17"/>
    <mergeCell ref="B17:D17"/>
    <mergeCell ref="E17:F17"/>
    <mergeCell ref="H17:J17"/>
    <mergeCell ref="Z13:AE13"/>
    <mergeCell ref="AF13:AK13"/>
    <mergeCell ref="AL13:AQ13"/>
    <mergeCell ref="AX13:BC13"/>
    <mergeCell ref="BD13:BI13"/>
    <mergeCell ref="AV12:AW12"/>
    <mergeCell ref="AX12:AZ12"/>
    <mergeCell ref="BB12:BC12"/>
    <mergeCell ref="BD12:BF12"/>
    <mergeCell ref="BH12:BI12"/>
    <mergeCell ref="B13:C13"/>
    <mergeCell ref="D13:E13"/>
    <mergeCell ref="H13:M13"/>
    <mergeCell ref="N13:S13"/>
    <mergeCell ref="T13:Y13"/>
    <mergeCell ref="B12:E12"/>
    <mergeCell ref="F12:G12"/>
    <mergeCell ref="L12:M12"/>
    <mergeCell ref="R12:S12"/>
    <mergeCell ref="X12:Y12"/>
    <mergeCell ref="AD12:AE12"/>
    <mergeCell ref="AJ12:AK12"/>
    <mergeCell ref="AP12:AQ12"/>
    <mergeCell ref="AR13:AW13"/>
    <mergeCell ref="AP9:AQ9"/>
    <mergeCell ref="B10:E11"/>
    <mergeCell ref="R10:S10"/>
    <mergeCell ref="X10:Y10"/>
    <mergeCell ref="AD10:AE10"/>
    <mergeCell ref="AJ10:AK10"/>
    <mergeCell ref="AP10:AQ10"/>
    <mergeCell ref="R11:S11"/>
    <mergeCell ref="X11:Y11"/>
    <mergeCell ref="AD11:AE11"/>
    <mergeCell ref="B9:E9"/>
    <mergeCell ref="F9:G9"/>
    <mergeCell ref="R9:S9"/>
    <mergeCell ref="X9:Y9"/>
    <mergeCell ref="AD9:AE9"/>
    <mergeCell ref="AJ9:AK9"/>
    <mergeCell ref="AJ11:AK11"/>
    <mergeCell ref="AP11:AQ11"/>
    <mergeCell ref="AJ8:AK8"/>
    <mergeCell ref="AP8:AQ8"/>
    <mergeCell ref="AR8:AW8"/>
    <mergeCell ref="AX8:BA8"/>
    <mergeCell ref="BB8:BC8"/>
    <mergeCell ref="BD8:BI8"/>
    <mergeCell ref="B8:D8"/>
    <mergeCell ref="E8:G8"/>
    <mergeCell ref="H8:M8"/>
    <mergeCell ref="R8:S8"/>
    <mergeCell ref="X8:Y8"/>
    <mergeCell ref="AD8:AE8"/>
    <mergeCell ref="AR7:AT7"/>
    <mergeCell ref="AV7:AW7"/>
    <mergeCell ref="AX7:AZ7"/>
    <mergeCell ref="BB7:BC7"/>
    <mergeCell ref="BD7:BF7"/>
    <mergeCell ref="BH7:BI7"/>
    <mergeCell ref="L7:M7"/>
    <mergeCell ref="R7:S7"/>
    <mergeCell ref="X7:Y7"/>
    <mergeCell ref="AD7:AE7"/>
    <mergeCell ref="AJ7:AK7"/>
    <mergeCell ref="AP7:AQ7"/>
    <mergeCell ref="B6:D6"/>
    <mergeCell ref="E6:F6"/>
    <mergeCell ref="G6:G7"/>
    <mergeCell ref="B7:D7"/>
    <mergeCell ref="E7:F7"/>
    <mergeCell ref="H7:J7"/>
    <mergeCell ref="Z3:AE3"/>
    <mergeCell ref="AF3:AK3"/>
    <mergeCell ref="AL3:AQ3"/>
    <mergeCell ref="AR3:AW3"/>
    <mergeCell ref="AX3:BC3"/>
    <mergeCell ref="BD3:BI3"/>
    <mergeCell ref="AF1:AK2"/>
    <mergeCell ref="AL1:AQ2"/>
    <mergeCell ref="AR1:BC2"/>
    <mergeCell ref="BD1:BI2"/>
    <mergeCell ref="B2:E2"/>
    <mergeCell ref="B3:C3"/>
    <mergeCell ref="D3:E3"/>
    <mergeCell ref="H3:M3"/>
    <mergeCell ref="N3:S3"/>
    <mergeCell ref="T3:Y3"/>
    <mergeCell ref="B1:C1"/>
    <mergeCell ref="D1:E1"/>
    <mergeCell ref="H1:M2"/>
    <mergeCell ref="N1:S2"/>
    <mergeCell ref="T1:Y2"/>
    <mergeCell ref="Z1:AE2"/>
  </mergeCells>
  <conditionalFormatting sqref="Z3:AE3 Z13:AE13 Z23:AE23 Z33:AE33 Z43:AE43 Z53:AE53 Z63:AE63">
    <cfRule type="notContainsBlanks" dxfId="5" priority="1">
      <formula>LEN(TRIM(Z3))&gt;0</formula>
    </cfRule>
  </conditionalFormatting>
  <conditionalFormatting sqref="H7 N7:AQ12 H12 H17:AQ22 H27:AQ32 H37:AQ42 H47:AQ52 H57:AQ62 H67:AQ72">
    <cfRule type="cellIs" dxfId="4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3B6E6814-9F76-4975-B914-E18907A7B938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93B1945B-3208-4497-ABC0-623DD51FB4CD}">
          <x14:formula1>
            <xm:f>Friteuse!$A$2:$A$200</xm:f>
          </x14:formula1>
          <xm:sqref>N3 N13 N23 N33 N43 N53 N63</xm:sqref>
        </x14:dataValidation>
        <x14:dataValidation type="list" allowBlank="1" showErrorMessage="1" xr:uid="{4DDE784F-C092-4FBB-B5BB-E57855C2492D}">
          <x14:formula1>
            <xm:f>Wok!$A$1:$A$210</xm:f>
          </x14:formula1>
          <xm:sqref>T3 T63 T53 T43 T33 T23 T13</xm:sqref>
        </x14:dataValidation>
        <x14:dataValidation type="list" allowBlank="1" showErrorMessage="1" xr:uid="{6D56E409-6AF8-45AA-8AB4-ABC1A8F831AD}">
          <x14:formula1>
            <xm:f>Poele!$A$2:$A$209</xm:f>
          </x14:formula1>
          <xm:sqref>Z3 Z13 Z23 Z33 Z43 Z53 Z63</xm:sqref>
        </x14:dataValidation>
        <x14:dataValidation type="list" allowBlank="1" showErrorMessage="1" xr:uid="{20D02527-0189-4B8A-962D-8415D633BBC4}">
          <x14:formula1>
            <xm:f>Four!$A$1:$A$217</xm:f>
          </x14:formula1>
          <xm:sqref>AF3 AL63 AF63 AL53 AL43 AF43 AL23 AF23 AL13 AF13 AL3</xm:sqref>
        </x14:dataValidation>
        <x14:dataValidation type="list" allowBlank="1" showErrorMessage="1" xr:uid="{D67FBF1F-B598-43C9-8E82-CA4953065A17}">
          <x14:formula1>
            <xm:f>Four!$A$1:$A$77</xm:f>
          </x14:formula1>
          <xm:sqref>AF53</xm:sqref>
        </x14:dataValidation>
        <x14:dataValidation type="list" allowBlank="1" showErrorMessage="1" xr:uid="{B06376B7-BC9B-4E2E-9CE8-0F6CCBC0C6CB}">
          <x14:formula1>
            <xm:f>Four!$A$1:$A$109</xm:f>
          </x14:formula1>
          <xm:sqref>AF33 AL33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2A0A9-3280-4349-AD73-A965853B74C0}">
  <sheetPr>
    <tabColor rgb="FF00B0F0"/>
    <pageSetUpPr fitToPage="1"/>
  </sheetPr>
  <dimension ref="A1:BI73"/>
  <sheetViews>
    <sheetView showGridLines="0" zoomScale="55" zoomScaleNormal="55" workbookViewId="0">
      <pane ySplit="2" topLeftCell="A3" activePane="bottomLeft" state="frozen"/>
      <selection activeCell="B5" sqref="B5"/>
      <selection pane="bottomLeft" activeCell="BL13" sqref="BL13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24" width="6.5703125" customWidth="1"/>
    <col min="25" max="25" width="7.140625" bestFit="1" customWidth="1"/>
    <col min="26" max="61" width="6.5703125" customWidth="1"/>
  </cols>
  <sheetData>
    <row r="1" spans="1:61" ht="17.25" customHeight="1">
      <c r="A1" s="5" t="s">
        <v>146</v>
      </c>
      <c r="B1" s="449" t="s">
        <v>0</v>
      </c>
      <c r="C1" s="432"/>
      <c r="D1" s="498">
        <v>7</v>
      </c>
      <c r="E1" s="432"/>
      <c r="F1" s="6"/>
      <c r="G1" s="7"/>
      <c r="H1" s="496" t="s">
        <v>147</v>
      </c>
      <c r="I1" s="445"/>
      <c r="J1" s="445"/>
      <c r="K1" s="445"/>
      <c r="L1" s="445"/>
      <c r="M1" s="446"/>
      <c r="N1" s="499" t="s">
        <v>148</v>
      </c>
      <c r="O1" s="445"/>
      <c r="P1" s="445"/>
      <c r="Q1" s="445"/>
      <c r="R1" s="445"/>
      <c r="S1" s="446"/>
      <c r="T1" s="500" t="s">
        <v>170</v>
      </c>
      <c r="U1" s="445"/>
      <c r="V1" s="445"/>
      <c r="W1" s="445"/>
      <c r="X1" s="445"/>
      <c r="Y1" s="446"/>
      <c r="Z1" s="500" t="s">
        <v>171</v>
      </c>
      <c r="AA1" s="445"/>
      <c r="AB1" s="445"/>
      <c r="AC1" s="445"/>
      <c r="AD1" s="445"/>
      <c r="AE1" s="446"/>
      <c r="AF1" s="495" t="s">
        <v>172</v>
      </c>
      <c r="AG1" s="445"/>
      <c r="AH1" s="445"/>
      <c r="AI1" s="445"/>
      <c r="AJ1" s="445"/>
      <c r="AK1" s="446"/>
      <c r="AL1" s="495" t="s">
        <v>173</v>
      </c>
      <c r="AM1" s="445"/>
      <c r="AN1" s="445"/>
      <c r="AO1" s="445"/>
      <c r="AP1" s="445"/>
      <c r="AQ1" s="446"/>
      <c r="AR1" s="496" t="s">
        <v>174</v>
      </c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6"/>
      <c r="BD1" s="497" t="s">
        <v>175</v>
      </c>
      <c r="BE1" s="445"/>
      <c r="BF1" s="445"/>
      <c r="BG1" s="445"/>
      <c r="BH1" s="445"/>
      <c r="BI1" s="446"/>
    </row>
    <row r="2" spans="1:61" ht="17.25" customHeight="1">
      <c r="A2" s="5"/>
      <c r="B2" s="485">
        <v>45334</v>
      </c>
      <c r="C2" s="445"/>
      <c r="D2" s="445"/>
      <c r="E2" s="446"/>
      <c r="F2" s="9"/>
      <c r="G2" s="9"/>
      <c r="H2" s="447"/>
      <c r="I2" s="434"/>
      <c r="J2" s="434"/>
      <c r="K2" s="434"/>
      <c r="L2" s="434"/>
      <c r="M2" s="435"/>
      <c r="N2" s="447"/>
      <c r="O2" s="434"/>
      <c r="P2" s="434"/>
      <c r="Q2" s="434"/>
      <c r="R2" s="434"/>
      <c r="S2" s="435"/>
      <c r="T2" s="447"/>
      <c r="U2" s="434"/>
      <c r="V2" s="434"/>
      <c r="W2" s="434"/>
      <c r="X2" s="434"/>
      <c r="Y2" s="435"/>
      <c r="Z2" s="447"/>
      <c r="AA2" s="434"/>
      <c r="AB2" s="434"/>
      <c r="AC2" s="434"/>
      <c r="AD2" s="434"/>
      <c r="AE2" s="435"/>
      <c r="AF2" s="447"/>
      <c r="AG2" s="434"/>
      <c r="AH2" s="434"/>
      <c r="AI2" s="434"/>
      <c r="AJ2" s="434"/>
      <c r="AK2" s="435"/>
      <c r="AL2" s="447"/>
      <c r="AM2" s="434"/>
      <c r="AN2" s="434"/>
      <c r="AO2" s="434"/>
      <c r="AP2" s="434"/>
      <c r="AQ2" s="435"/>
      <c r="AR2" s="447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5"/>
      <c r="BD2" s="434"/>
      <c r="BE2" s="434"/>
      <c r="BF2" s="434"/>
      <c r="BG2" s="434"/>
      <c r="BH2" s="434"/>
      <c r="BI2" s="435"/>
    </row>
    <row r="3" spans="1:61" ht="17.25" customHeight="1">
      <c r="A3" s="55">
        <f>B2</f>
        <v>45334</v>
      </c>
      <c r="B3" s="486" t="s">
        <v>8</v>
      </c>
      <c r="C3" s="464"/>
      <c r="D3" s="486" t="s">
        <v>9</v>
      </c>
      <c r="E3" s="464"/>
      <c r="F3" s="329" t="s">
        <v>10</v>
      </c>
      <c r="G3" s="330"/>
      <c r="H3" s="551" t="s">
        <v>149</v>
      </c>
      <c r="I3" s="552" t="s">
        <v>149</v>
      </c>
      <c r="J3" s="552" t="s">
        <v>149</v>
      </c>
      <c r="K3" s="552" t="s">
        <v>149</v>
      </c>
      <c r="L3" s="552" t="s">
        <v>149</v>
      </c>
      <c r="M3" s="553" t="s">
        <v>149</v>
      </c>
      <c r="N3" s="488" t="s">
        <v>197</v>
      </c>
      <c r="O3" s="489" t="s">
        <v>197</v>
      </c>
      <c r="P3" s="489" t="s">
        <v>197</v>
      </c>
      <c r="Q3" s="489" t="s">
        <v>197</v>
      </c>
      <c r="R3" s="489" t="s">
        <v>197</v>
      </c>
      <c r="S3" s="490" t="s">
        <v>197</v>
      </c>
      <c r="T3" s="491" t="s">
        <v>266</v>
      </c>
      <c r="U3" s="492" t="s">
        <v>266</v>
      </c>
      <c r="V3" s="492" t="s">
        <v>266</v>
      </c>
      <c r="W3" s="492" t="s">
        <v>266</v>
      </c>
      <c r="X3" s="492" t="s">
        <v>266</v>
      </c>
      <c r="Y3" s="493" t="s">
        <v>266</v>
      </c>
      <c r="Z3" s="561" t="s">
        <v>295</v>
      </c>
      <c r="AA3" s="562" t="s">
        <v>295</v>
      </c>
      <c r="AB3" s="562" t="s">
        <v>295</v>
      </c>
      <c r="AC3" s="562" t="s">
        <v>295</v>
      </c>
      <c r="AD3" s="562" t="s">
        <v>295</v>
      </c>
      <c r="AE3" s="563" t="s">
        <v>295</v>
      </c>
      <c r="AF3" s="478" t="s">
        <v>208</v>
      </c>
      <c r="AG3" s="479" t="s">
        <v>208</v>
      </c>
      <c r="AH3" s="479" t="s">
        <v>208</v>
      </c>
      <c r="AI3" s="479" t="s">
        <v>208</v>
      </c>
      <c r="AJ3" s="479" t="s">
        <v>208</v>
      </c>
      <c r="AK3" s="480" t="s">
        <v>208</v>
      </c>
      <c r="AL3" s="564" t="s">
        <v>209</v>
      </c>
      <c r="AM3" s="565" t="s">
        <v>209</v>
      </c>
      <c r="AN3" s="565" t="s">
        <v>209</v>
      </c>
      <c r="AO3" s="565" t="s">
        <v>209</v>
      </c>
      <c r="AP3" s="565" t="s">
        <v>209</v>
      </c>
      <c r="AQ3" s="566" t="s">
        <v>209</v>
      </c>
      <c r="AR3" s="481" t="s">
        <v>18</v>
      </c>
      <c r="AS3" s="431"/>
      <c r="AT3" s="431"/>
      <c r="AU3" s="431"/>
      <c r="AV3" s="431"/>
      <c r="AW3" s="432"/>
      <c r="AX3" s="482" t="s">
        <v>154</v>
      </c>
      <c r="AY3" s="434"/>
      <c r="AZ3" s="434"/>
      <c r="BA3" s="434"/>
      <c r="BB3" s="434"/>
      <c r="BC3" s="435"/>
      <c r="BD3" s="483" t="s">
        <v>155</v>
      </c>
      <c r="BE3" s="431"/>
      <c r="BF3" s="431"/>
      <c r="BG3" s="431"/>
      <c r="BH3" s="431"/>
      <c r="BI3" s="484"/>
    </row>
    <row r="4" spans="1:61" ht="17.25" customHeight="1">
      <c r="A4" s="269"/>
      <c r="B4" s="331" t="s">
        <v>22</v>
      </c>
      <c r="C4" s="332">
        <v>130</v>
      </c>
      <c r="D4" s="331" t="s">
        <v>22</v>
      </c>
      <c r="E4" s="104">
        <v>50</v>
      </c>
      <c r="F4" s="331" t="s">
        <v>22</v>
      </c>
      <c r="G4" s="104">
        <f t="shared" ref="G4:G5" si="0">+C4+E4</f>
        <v>180</v>
      </c>
      <c r="H4" s="333" t="s">
        <v>23</v>
      </c>
      <c r="I4" s="105">
        <v>0.05</v>
      </c>
      <c r="J4" s="106">
        <f>+I4*$C4*$F9</f>
        <v>3.9</v>
      </c>
      <c r="K4" s="333" t="s">
        <v>24</v>
      </c>
      <c r="L4" s="107">
        <v>3</v>
      </c>
      <c r="M4" s="334">
        <f>L4/($F12*$C5)</f>
        <v>4.2947127314372967E-2</v>
      </c>
      <c r="N4" s="335" t="s">
        <v>23</v>
      </c>
      <c r="O4" s="108">
        <v>0.01</v>
      </c>
      <c r="P4" s="109">
        <f>+O4*$C4*$F9</f>
        <v>0.78</v>
      </c>
      <c r="Q4" s="336" t="s">
        <v>24</v>
      </c>
      <c r="R4" s="110">
        <v>0.5</v>
      </c>
      <c r="S4" s="334">
        <f>R4/($F12*$C5)</f>
        <v>7.1578545523954948E-3</v>
      </c>
      <c r="T4" s="336" t="s">
        <v>23</v>
      </c>
      <c r="U4" s="111">
        <v>0.3</v>
      </c>
      <c r="V4" s="112">
        <f>+U4*$C4*$F9</f>
        <v>23.4</v>
      </c>
      <c r="W4" s="336" t="s">
        <v>24</v>
      </c>
      <c r="X4" s="110">
        <v>20</v>
      </c>
      <c r="Y4" s="334">
        <f>X4/($F12*$C5)</f>
        <v>0.28631418209581977</v>
      </c>
      <c r="Z4" s="336" t="s">
        <v>23</v>
      </c>
      <c r="AA4" s="111">
        <v>0.03</v>
      </c>
      <c r="AB4" s="112">
        <f>+AA4*$C4*$F9</f>
        <v>2.34</v>
      </c>
      <c r="AC4" s="336" t="s">
        <v>24</v>
      </c>
      <c r="AD4" s="110">
        <v>2</v>
      </c>
      <c r="AE4" s="334">
        <f>AD4/($F12*$C5)</f>
        <v>2.8631418209581979E-2</v>
      </c>
      <c r="AF4" s="336" t="s">
        <v>23</v>
      </c>
      <c r="AG4" s="111">
        <v>0.3</v>
      </c>
      <c r="AH4" s="112">
        <f>+AG4*$C4*$F9</f>
        <v>23.4</v>
      </c>
      <c r="AI4" s="336" t="s">
        <v>24</v>
      </c>
      <c r="AJ4" s="110">
        <v>6</v>
      </c>
      <c r="AK4" s="334">
        <f>AJ4/($F12*$C5)</f>
        <v>8.5894254628745934E-2</v>
      </c>
      <c r="AL4" s="336" t="s">
        <v>23</v>
      </c>
      <c r="AM4" s="111">
        <v>0.05</v>
      </c>
      <c r="AN4" s="112">
        <f>+AM4*$C4*$F9</f>
        <v>3.9</v>
      </c>
      <c r="AO4" s="336" t="s">
        <v>24</v>
      </c>
      <c r="AP4" s="110">
        <v>3</v>
      </c>
      <c r="AQ4" s="334">
        <f>AP4/($F12*$C5)</f>
        <v>4.2947127314372967E-2</v>
      </c>
      <c r="AR4" s="333" t="s">
        <v>23</v>
      </c>
      <c r="AS4" s="105">
        <v>7.0000000000000007E-2</v>
      </c>
      <c r="AT4" s="106">
        <f>+AS4*$C4*$F9</f>
        <v>5.4600000000000009</v>
      </c>
      <c r="AU4" s="333" t="s">
        <v>24</v>
      </c>
      <c r="AV4" s="107">
        <v>4</v>
      </c>
      <c r="AW4" s="334">
        <f>AV4/($F12*$C5)</f>
        <v>5.7262836419163958E-2</v>
      </c>
      <c r="AX4" s="333" t="s">
        <v>23</v>
      </c>
      <c r="AY4" s="105">
        <v>0.43</v>
      </c>
      <c r="AZ4" s="106">
        <f>+AY4*$C4*$F9</f>
        <v>33.54</v>
      </c>
      <c r="BA4" s="333" t="s">
        <v>24</v>
      </c>
      <c r="BB4" s="107">
        <v>25</v>
      </c>
      <c r="BC4" s="334">
        <f>BB4/($F12*$C5)</f>
        <v>0.35789272761977475</v>
      </c>
      <c r="BD4" s="333" t="s">
        <v>23</v>
      </c>
      <c r="BE4" s="105">
        <v>0.02</v>
      </c>
      <c r="BF4" s="106">
        <f>+BE4*$C4*$F9</f>
        <v>1.56</v>
      </c>
      <c r="BG4" s="333" t="s">
        <v>24</v>
      </c>
      <c r="BH4" s="107">
        <v>1</v>
      </c>
      <c r="BI4" s="334">
        <f>BH4/($F12*$C5)</f>
        <v>1.431570910479099E-2</v>
      </c>
    </row>
    <row r="5" spans="1:61" ht="17.25" customHeight="1">
      <c r="A5" s="278" t="s">
        <v>25</v>
      </c>
      <c r="B5" s="337" t="s">
        <v>26</v>
      </c>
      <c r="C5" s="113">
        <v>100</v>
      </c>
      <c r="D5" s="337" t="s">
        <v>26</v>
      </c>
      <c r="E5" s="114">
        <v>50</v>
      </c>
      <c r="F5" s="337" t="s">
        <v>26</v>
      </c>
      <c r="G5" s="114">
        <f t="shared" si="0"/>
        <v>150</v>
      </c>
      <c r="H5" s="115" t="s">
        <v>27</v>
      </c>
      <c r="I5" s="338">
        <v>0.03</v>
      </c>
      <c r="J5" s="339">
        <f>+I5*$E4*$F9</f>
        <v>0.89999999999999991</v>
      </c>
      <c r="K5" s="115" t="s">
        <v>28</v>
      </c>
      <c r="L5" s="340">
        <v>1</v>
      </c>
      <c r="M5" s="341">
        <f>L5/($F12*$E5)</f>
        <v>2.8631418209581979E-2</v>
      </c>
      <c r="N5" s="116" t="s">
        <v>27</v>
      </c>
      <c r="O5" s="342">
        <v>0.25</v>
      </c>
      <c r="P5" s="343">
        <f>+O5*$E4*$F9</f>
        <v>7.5</v>
      </c>
      <c r="Q5" s="117" t="s">
        <v>28</v>
      </c>
      <c r="R5" s="344">
        <v>0.5</v>
      </c>
      <c r="S5" s="341">
        <f>R5/($F12*$E5)</f>
        <v>1.431570910479099E-2</v>
      </c>
      <c r="T5" s="117" t="s">
        <v>27</v>
      </c>
      <c r="U5" s="345">
        <v>0.15</v>
      </c>
      <c r="V5" s="346">
        <f>+U5*$E4*$F9</f>
        <v>4.5</v>
      </c>
      <c r="W5" s="117" t="s">
        <v>28</v>
      </c>
      <c r="X5" s="344">
        <v>1</v>
      </c>
      <c r="Y5" s="341">
        <f>X5/($F12*$E5)</f>
        <v>2.8631418209581979E-2</v>
      </c>
      <c r="Z5" s="117" t="s">
        <v>27</v>
      </c>
      <c r="AA5" s="345">
        <v>0.03</v>
      </c>
      <c r="AB5" s="346">
        <f>+AA5*$E4*$F9</f>
        <v>0.89999999999999991</v>
      </c>
      <c r="AC5" s="117" t="s">
        <v>28</v>
      </c>
      <c r="AD5" s="344">
        <v>1</v>
      </c>
      <c r="AE5" s="341">
        <f>AD5/($F12*$E5)</f>
        <v>2.8631418209581979E-2</v>
      </c>
      <c r="AF5" s="117" t="s">
        <v>27</v>
      </c>
      <c r="AG5" s="345">
        <v>0.3</v>
      </c>
      <c r="AH5" s="346">
        <f>+AG5*$E4*$F9</f>
        <v>9</v>
      </c>
      <c r="AI5" s="117" t="s">
        <v>28</v>
      </c>
      <c r="AJ5" s="344">
        <v>3</v>
      </c>
      <c r="AK5" s="341">
        <f>AJ5/($F12*$E5)</f>
        <v>8.5894254628745934E-2</v>
      </c>
      <c r="AL5" s="117" t="s">
        <v>27</v>
      </c>
      <c r="AM5" s="345">
        <v>0.03</v>
      </c>
      <c r="AN5" s="346">
        <f>+AM5*$E4*$F9</f>
        <v>0.89999999999999991</v>
      </c>
      <c r="AO5" s="117" t="s">
        <v>28</v>
      </c>
      <c r="AP5" s="344">
        <v>1</v>
      </c>
      <c r="AQ5" s="341">
        <f>AP5/($F12*$E5)</f>
        <v>2.8631418209581979E-2</v>
      </c>
      <c r="AR5" s="115" t="s">
        <v>27</v>
      </c>
      <c r="AS5" s="338">
        <v>7.0000000000000007E-2</v>
      </c>
      <c r="AT5" s="339">
        <f>+AS5*$E4*$F9</f>
        <v>2.1</v>
      </c>
      <c r="AU5" s="115" t="s">
        <v>28</v>
      </c>
      <c r="AV5" s="340">
        <v>2</v>
      </c>
      <c r="AW5" s="341">
        <f>AV5/($F12*$E5)</f>
        <v>5.7262836419163958E-2</v>
      </c>
      <c r="AX5" s="115" t="s">
        <v>27</v>
      </c>
      <c r="AY5" s="338">
        <v>0.34</v>
      </c>
      <c r="AZ5" s="339">
        <f>+AY5*$E4*$F9</f>
        <v>10.199999999999999</v>
      </c>
      <c r="BA5" s="115" t="s">
        <v>28</v>
      </c>
      <c r="BB5" s="340">
        <v>10</v>
      </c>
      <c r="BC5" s="341">
        <f>BB5/($F12*$E5)</f>
        <v>0.28631418209581977</v>
      </c>
      <c r="BD5" s="115" t="s">
        <v>27</v>
      </c>
      <c r="BE5" s="338">
        <v>0.02</v>
      </c>
      <c r="BF5" s="339">
        <f>+BE5*$E4*$F9</f>
        <v>0.6</v>
      </c>
      <c r="BG5" s="115" t="s">
        <v>28</v>
      </c>
      <c r="BH5" s="340">
        <v>0.5</v>
      </c>
      <c r="BI5" s="341">
        <f>BH5/($F12*$E5)</f>
        <v>1.431570910479099E-2</v>
      </c>
    </row>
    <row r="6" spans="1:61" ht="17.25" customHeight="1">
      <c r="A6" s="291" t="s">
        <v>29</v>
      </c>
      <c r="B6" s="506" t="s">
        <v>30</v>
      </c>
      <c r="C6" s="454"/>
      <c r="D6" s="455"/>
      <c r="E6" s="507">
        <f>(I4+O4+U4+AA4+AG4+AM4+AS4+AY4+BE4+BE9+AY9+AS9+I9)/2</f>
        <v>0.75500000000000012</v>
      </c>
      <c r="F6" s="457"/>
      <c r="G6" s="508">
        <f>(E6+E7)</f>
        <v>1.4950000000000003</v>
      </c>
      <c r="H6" s="347" t="s">
        <v>31</v>
      </c>
      <c r="I6" s="348">
        <f>+J6/$G4</f>
        <v>2.6666666666666665E-2</v>
      </c>
      <c r="J6" s="118">
        <f>SUM(J4:J5)</f>
        <v>4.8</v>
      </c>
      <c r="K6" s="119" t="s">
        <v>31</v>
      </c>
      <c r="L6" s="349">
        <f>SUM(L4:L5)</f>
        <v>4</v>
      </c>
      <c r="M6" s="350">
        <f>L6/($F12*$G5)</f>
        <v>3.8175224279442643E-2</v>
      </c>
      <c r="N6" s="351" t="s">
        <v>31</v>
      </c>
      <c r="O6" s="352">
        <f>+P6/$G4</f>
        <v>4.5999999999999999E-2</v>
      </c>
      <c r="P6" s="120">
        <f>SUM(P4:P5)</f>
        <v>8.2799999999999994</v>
      </c>
      <c r="Q6" s="121" t="s">
        <v>31</v>
      </c>
      <c r="R6" s="353">
        <f>SUM(R4:R5)</f>
        <v>1</v>
      </c>
      <c r="S6" s="350">
        <f>R6/($F12*$G5)</f>
        <v>9.5438060698606608E-3</v>
      </c>
      <c r="T6" s="354" t="s">
        <v>31</v>
      </c>
      <c r="U6" s="355">
        <f>+V6/$G4</f>
        <v>0.155</v>
      </c>
      <c r="V6" s="122">
        <f>SUM(V4:V5)</f>
        <v>27.9</v>
      </c>
      <c r="W6" s="121" t="s">
        <v>31</v>
      </c>
      <c r="X6" s="353">
        <f>SUM(X4:X5)</f>
        <v>21</v>
      </c>
      <c r="Y6" s="350">
        <f>X6/($F12*$G5)</f>
        <v>0.20041992746707388</v>
      </c>
      <c r="Z6" s="354" t="s">
        <v>31</v>
      </c>
      <c r="AA6" s="355">
        <f>+AB6/$G4</f>
        <v>1.7999999999999999E-2</v>
      </c>
      <c r="AB6" s="122">
        <f>SUM(AB4:AB5)</f>
        <v>3.2399999999999998</v>
      </c>
      <c r="AC6" s="121" t="s">
        <v>31</v>
      </c>
      <c r="AD6" s="353">
        <f>SUM(AD4:AD5)</f>
        <v>3</v>
      </c>
      <c r="AE6" s="350">
        <f>AD6/($F12*$G5)</f>
        <v>2.8631418209581982E-2</v>
      </c>
      <c r="AF6" s="354" t="s">
        <v>31</v>
      </c>
      <c r="AG6" s="355">
        <f>+AH6/$G4</f>
        <v>0.18</v>
      </c>
      <c r="AH6" s="122">
        <f>SUM(AH4:AH5)</f>
        <v>32.4</v>
      </c>
      <c r="AI6" s="121" t="s">
        <v>31</v>
      </c>
      <c r="AJ6" s="353">
        <f>SUM(AJ4:AJ5)</f>
        <v>9</v>
      </c>
      <c r="AK6" s="350">
        <f>AJ6/($F12*$G5)</f>
        <v>8.5894254628745947E-2</v>
      </c>
      <c r="AL6" s="354" t="s">
        <v>31</v>
      </c>
      <c r="AM6" s="355">
        <f>+AN6/$G4</f>
        <v>2.6666666666666665E-2</v>
      </c>
      <c r="AN6" s="122">
        <f>SUM(AN4:AN5)</f>
        <v>4.8</v>
      </c>
      <c r="AO6" s="121" t="s">
        <v>31</v>
      </c>
      <c r="AP6" s="353">
        <f>SUM(AP4:AP5)</f>
        <v>4</v>
      </c>
      <c r="AQ6" s="350">
        <f>AP6/($F12*$G5)</f>
        <v>3.8175224279442643E-2</v>
      </c>
      <c r="AR6" s="347" t="s">
        <v>31</v>
      </c>
      <c r="AS6" s="348">
        <f>+AT6/$G4</f>
        <v>4.2000000000000003E-2</v>
      </c>
      <c r="AT6" s="118">
        <f>SUM(AT4:AT5)</f>
        <v>7.5600000000000005</v>
      </c>
      <c r="AU6" s="119" t="s">
        <v>31</v>
      </c>
      <c r="AV6" s="349">
        <f>SUM(AV4:AV5)</f>
        <v>6</v>
      </c>
      <c r="AW6" s="350">
        <f>AV6/($F12*$G5)</f>
        <v>5.7262836419163965E-2</v>
      </c>
      <c r="AX6" s="347" t="s">
        <v>31</v>
      </c>
      <c r="AY6" s="348">
        <f>+AZ6/$G4</f>
        <v>0.24299999999999997</v>
      </c>
      <c r="AZ6" s="118">
        <f>SUM(AZ4:AZ5)</f>
        <v>43.739999999999995</v>
      </c>
      <c r="BA6" s="119" t="s">
        <v>31</v>
      </c>
      <c r="BB6" s="349">
        <f>SUM(BB4:BB5)</f>
        <v>35</v>
      </c>
      <c r="BC6" s="350">
        <f>BB6/($F12*$G5)</f>
        <v>0.33403321244512313</v>
      </c>
      <c r="BD6" s="347" t="s">
        <v>31</v>
      </c>
      <c r="BE6" s="348">
        <f>+BF6/$G4</f>
        <v>1.2E-2</v>
      </c>
      <c r="BF6" s="118">
        <f>SUM(BF4:BF5)</f>
        <v>2.16</v>
      </c>
      <c r="BG6" s="119" t="s">
        <v>31</v>
      </c>
      <c r="BH6" s="349">
        <f>SUM(BH4:BH5)</f>
        <v>1.5</v>
      </c>
      <c r="BI6" s="350">
        <f>BH6/($F12*$G5)</f>
        <v>1.4315709104790991E-2</v>
      </c>
    </row>
    <row r="7" spans="1:61" ht="17.25" customHeight="1">
      <c r="A7" s="291" t="s">
        <v>33</v>
      </c>
      <c r="B7" s="509" t="s">
        <v>34</v>
      </c>
      <c r="C7" s="461"/>
      <c r="D7" s="462"/>
      <c r="E7" s="510">
        <f>(I5+O5+U5+AA5+AG5+AM5+AS5+AY5+BE5+AS10+AY10+BE10+I10)/2</f>
        <v>0.74000000000000021</v>
      </c>
      <c r="F7" s="464"/>
      <c r="G7" s="459"/>
      <c r="H7" s="511" t="str">
        <f>VLOOKUP(H3,Plancha2!A:M,2,FALSE())</f>
        <v>Poisson</v>
      </c>
      <c r="I7" s="474"/>
      <c r="J7" s="474"/>
      <c r="K7" s="357"/>
      <c r="L7" s="502">
        <f>J6</f>
        <v>4.8</v>
      </c>
      <c r="M7" s="475"/>
      <c r="N7" s="358" t="str">
        <f>VLOOKUP(N3,Friteuse!A:M,2,FALSE())</f>
        <v>Aiguilette</v>
      </c>
      <c r="O7" s="359"/>
      <c r="P7" s="359"/>
      <c r="Q7" s="123"/>
      <c r="R7" s="502">
        <f>VLOOKUP(N3,Friteuse!A:M,3,FALSE())*P6</f>
        <v>7.1207999999999991</v>
      </c>
      <c r="S7" s="475"/>
      <c r="T7" s="356" t="str">
        <f>VLOOKUP(T3,Wok!A:M,2,FALSE())</f>
        <v>Riz carnoli CUIT (2kg pour 1,6L)</v>
      </c>
      <c r="U7" s="360"/>
      <c r="V7" s="360"/>
      <c r="W7" s="123"/>
      <c r="X7" s="502">
        <f>VLOOKUP(T3,Wok!A:M,3,FALSE())*V6</f>
        <v>10.043999999999999</v>
      </c>
      <c r="Y7" s="475"/>
      <c r="Z7" s="356" t="str">
        <f>VLOOKUP(Z3,Poele!A:M,2,FALSE())</f>
        <v>Calamars</v>
      </c>
      <c r="AA7" s="360"/>
      <c r="AB7" s="360"/>
      <c r="AC7" s="123"/>
      <c r="AD7" s="502">
        <f>VLOOKUP(Z3,Poele!A:M,3,FALSE())*AB6</f>
        <v>2.2031999999999998</v>
      </c>
      <c r="AE7" s="475"/>
      <c r="AF7" s="356" t="str">
        <f>VLOOKUP(AF3,Four!A:M,2,FALSE())</f>
        <v>PDT</v>
      </c>
      <c r="AG7" s="360"/>
      <c r="AH7" s="360"/>
      <c r="AI7" s="123"/>
      <c r="AJ7" s="502">
        <f>VLOOKUP(AF3,Four!A:M,3,FALSE())*AH6</f>
        <v>16.2</v>
      </c>
      <c r="AK7" s="475"/>
      <c r="AL7" s="356" t="str">
        <f>VLOOKUP(AL3,Four!A:M,2,FALSE())</f>
        <v>endives</v>
      </c>
      <c r="AM7" s="360"/>
      <c r="AN7" s="360"/>
      <c r="AO7" s="123"/>
      <c r="AP7" s="502">
        <f>VLOOKUP(AL3,Four!A:M,3,FALSE())*AN6</f>
        <v>0</v>
      </c>
      <c r="AQ7" s="475"/>
      <c r="AR7" s="504" t="s">
        <v>42</v>
      </c>
      <c r="AS7" s="461"/>
      <c r="AT7" s="461"/>
      <c r="AU7" s="357"/>
      <c r="AV7" s="502">
        <f>AT6</f>
        <v>7.5600000000000005</v>
      </c>
      <c r="AW7" s="475"/>
      <c r="AX7" s="501" t="s">
        <v>156</v>
      </c>
      <c r="AY7" s="471"/>
      <c r="AZ7" s="471"/>
      <c r="BA7" s="124"/>
      <c r="BB7" s="502">
        <f>AZ6</f>
        <v>43.739999999999995</v>
      </c>
      <c r="BC7" s="475"/>
      <c r="BD7" s="501" t="s">
        <v>157</v>
      </c>
      <c r="BE7" s="471"/>
      <c r="BF7" s="471"/>
      <c r="BG7" s="124"/>
      <c r="BH7" s="502">
        <f>BF6</f>
        <v>2.16</v>
      </c>
      <c r="BI7" s="503"/>
    </row>
    <row r="8" spans="1:61" ht="17.25" customHeight="1">
      <c r="A8" s="291" t="s">
        <v>45</v>
      </c>
      <c r="B8" s="516" t="s">
        <v>46</v>
      </c>
      <c r="C8" s="445"/>
      <c r="D8" s="517"/>
      <c r="E8" s="518">
        <f>(L6+R6+X6+AD6+AJ6+AP6+AV6+BB6+BH6+BH11+(BB11*BB8/1000)+L11+AV11)/(G5*F12)</f>
        <v>1</v>
      </c>
      <c r="F8" s="474"/>
      <c r="G8" s="475"/>
      <c r="H8" s="551" t="s">
        <v>223</v>
      </c>
      <c r="I8" s="552" t="s">
        <v>223</v>
      </c>
      <c r="J8" s="552" t="s">
        <v>223</v>
      </c>
      <c r="K8" s="552" t="s">
        <v>223</v>
      </c>
      <c r="L8" s="552" t="s">
        <v>223</v>
      </c>
      <c r="M8" s="553" t="s">
        <v>223</v>
      </c>
      <c r="N8" s="358" t="str">
        <f>VLOOKUP(N3,Friteuse!A:M,4,FALSE())</f>
        <v>Creme</v>
      </c>
      <c r="O8" s="125"/>
      <c r="P8" s="125"/>
      <c r="Q8" s="125"/>
      <c r="R8" s="512">
        <f>VLOOKUP(N3,Friteuse!A:M,5,FALSE())*P6</f>
        <v>8.2799999999999999E-2</v>
      </c>
      <c r="S8" s="475"/>
      <c r="T8" s="356" t="str">
        <f>VLOOKUP(T3,Wok!A:M,4,FALSE())</f>
        <v>Courgettes</v>
      </c>
      <c r="U8" s="123"/>
      <c r="V8" s="123"/>
      <c r="W8" s="123"/>
      <c r="X8" s="512">
        <f>VLOOKUP(T3,Wok!A:M,5,FALSE())*V6</f>
        <v>2.79</v>
      </c>
      <c r="Y8" s="475"/>
      <c r="Z8" s="356" t="str">
        <f>VLOOKUP(Z3,Poele!A:M,4,FALSE())</f>
        <v>Bisque homard</v>
      </c>
      <c r="AA8" s="123"/>
      <c r="AB8" s="123"/>
      <c r="AC8" s="123"/>
      <c r="AD8" s="512">
        <f>VLOOKUP(Z3,Poele!A:M,5,FALSE())*AB6</f>
        <v>0.4536</v>
      </c>
      <c r="AE8" s="475"/>
      <c r="AF8" s="356" t="str">
        <f>VLOOKUP(AF3,Four!A:M,4,FALSE())</f>
        <v>Reblochon</v>
      </c>
      <c r="AG8" s="123"/>
      <c r="AH8" s="123"/>
      <c r="AI8" s="123"/>
      <c r="AJ8" s="512">
        <f>VLOOKUP(AF3,Four!A:M,5,FALSE())*AH6</f>
        <v>8.7479999999999993</v>
      </c>
      <c r="AK8" s="475"/>
      <c r="AL8" s="356" t="str">
        <f>VLOOKUP(AL3,Four!A:M,4,FALSE())</f>
        <v>beurre</v>
      </c>
      <c r="AM8" s="123"/>
      <c r="AN8" s="123"/>
      <c r="AO8" s="123"/>
      <c r="AP8" s="512">
        <f>VLOOKUP(AL3,Four!A:M,5,FALSE())*AN6</f>
        <v>0</v>
      </c>
      <c r="AQ8" s="475"/>
      <c r="AR8" s="481" t="s">
        <v>54</v>
      </c>
      <c r="AS8" s="431"/>
      <c r="AT8" s="431"/>
      <c r="AU8" s="431"/>
      <c r="AV8" s="431"/>
      <c r="AW8" s="432"/>
      <c r="AX8" s="481" t="s">
        <v>55</v>
      </c>
      <c r="AY8" s="431"/>
      <c r="AZ8" s="431"/>
      <c r="BA8" s="431"/>
      <c r="BB8" s="527">
        <v>60</v>
      </c>
      <c r="BC8" s="432"/>
      <c r="BD8" s="483" t="s">
        <v>163</v>
      </c>
      <c r="BE8" s="431"/>
      <c r="BF8" s="431"/>
      <c r="BG8" s="431"/>
      <c r="BH8" s="431"/>
      <c r="BI8" s="484"/>
    </row>
    <row r="9" spans="1:61" ht="17.25" customHeight="1">
      <c r="A9" s="291" t="s">
        <v>56</v>
      </c>
      <c r="B9" s="513" t="s">
        <v>158</v>
      </c>
      <c r="C9" s="445"/>
      <c r="D9" s="445"/>
      <c r="E9" s="445"/>
      <c r="F9" s="514">
        <v>0.6</v>
      </c>
      <c r="G9" s="446"/>
      <c r="H9" s="333" t="s">
        <v>23</v>
      </c>
      <c r="I9" s="105">
        <v>7.0000000000000007E-2</v>
      </c>
      <c r="J9" s="106">
        <f>+I9*$C4*$F$9</f>
        <v>5.4600000000000009</v>
      </c>
      <c r="K9" s="333" t="s">
        <v>24</v>
      </c>
      <c r="L9" s="107">
        <v>4</v>
      </c>
      <c r="M9" s="334">
        <f>L9/($F12*$C5)</f>
        <v>5.7262836419163958E-2</v>
      </c>
      <c r="N9" s="358" t="str">
        <f>VLOOKUP(N3,Friteuse!A:M,6,FALSE())</f>
        <v>Tandoori</v>
      </c>
      <c r="O9" s="125"/>
      <c r="P9" s="125"/>
      <c r="Q9" s="125"/>
      <c r="R9" s="512">
        <f>VLOOKUP(N3,Friteuse!A:M,7,FALSE())*P6</f>
        <v>0.12419999999999999</v>
      </c>
      <c r="S9" s="475"/>
      <c r="T9" s="356" t="str">
        <f>VLOOKUP(T3,Wok!A:M,6,FALSE())</f>
        <v>Champignon</v>
      </c>
      <c r="U9" s="123"/>
      <c r="V9" s="123"/>
      <c r="W9" s="123"/>
      <c r="X9" s="512">
        <f>VLOOKUP(T3,Wok!A:M,7,FALSE())*V6</f>
        <v>4.4639999999999995</v>
      </c>
      <c r="Y9" s="475"/>
      <c r="Z9" s="356" t="str">
        <f>VLOOKUP(Z3,Poele!A:M,6,FALSE())</f>
        <v>Carotte</v>
      </c>
      <c r="AA9" s="123"/>
      <c r="AB9" s="123"/>
      <c r="AC9" s="123"/>
      <c r="AD9" s="512">
        <f>VLOOKUP(Z3,Poele!A:M,7,FALSE())*AB6</f>
        <v>0.32400000000000001</v>
      </c>
      <c r="AE9" s="475"/>
      <c r="AF9" s="356" t="str">
        <f>VLOOKUP(AF3,Four!A:M,6,FALSE())</f>
        <v>Lardons fumés</v>
      </c>
      <c r="AG9" s="123"/>
      <c r="AH9" s="123"/>
      <c r="AI9" s="123"/>
      <c r="AJ9" s="512">
        <f>VLOOKUP(AF3,Four!A:M,7,FALSE())*AH6</f>
        <v>3.24</v>
      </c>
      <c r="AK9" s="475"/>
      <c r="AL9" s="356" t="str">
        <f>VLOOKUP(AL3,Four!A:M,6,FALSE())</f>
        <v>sucre</v>
      </c>
      <c r="AM9" s="123"/>
      <c r="AN9" s="123"/>
      <c r="AO9" s="123"/>
      <c r="AP9" s="512">
        <f>VLOOKUP(AL3,Four!A:M,7,FALSE())*AN6</f>
        <v>0</v>
      </c>
      <c r="AQ9" s="475"/>
      <c r="AR9" s="333" t="s">
        <v>23</v>
      </c>
      <c r="AS9" s="105">
        <v>0.08</v>
      </c>
      <c r="AT9" s="106">
        <f>+AS9*$C4*$F$9</f>
        <v>6.24</v>
      </c>
      <c r="AU9" s="333" t="s">
        <v>24</v>
      </c>
      <c r="AV9" s="107">
        <v>4</v>
      </c>
      <c r="AW9" s="334">
        <f>AV9/($F12*$C5)</f>
        <v>5.7262836419163958E-2</v>
      </c>
      <c r="AX9" s="361" t="s">
        <v>23</v>
      </c>
      <c r="AY9" s="105">
        <v>0.03</v>
      </c>
      <c r="AZ9" s="126">
        <f>AY9*C4*F9/(BB8/1000)</f>
        <v>39</v>
      </c>
      <c r="BA9" s="333" t="s">
        <v>24</v>
      </c>
      <c r="BB9" s="127">
        <v>25</v>
      </c>
      <c r="BC9" s="334">
        <f>(BB9*BB8/1000)/($F12*$C5)</f>
        <v>2.1473563657186483E-2</v>
      </c>
      <c r="BD9" s="333" t="s">
        <v>23</v>
      </c>
      <c r="BE9" s="105">
        <v>7.0000000000000007E-2</v>
      </c>
      <c r="BF9" s="106">
        <f>+BE9*$C4*$F$9</f>
        <v>5.4600000000000009</v>
      </c>
      <c r="BG9" s="333" t="s">
        <v>24</v>
      </c>
      <c r="BH9" s="107">
        <v>4</v>
      </c>
      <c r="BI9" s="334">
        <f>BH9/($F12*$C5)</f>
        <v>5.7262836419163958E-2</v>
      </c>
    </row>
    <row r="10" spans="1:61" ht="17.25" customHeight="1">
      <c r="A10" s="278"/>
      <c r="B10" s="515" t="s">
        <v>178</v>
      </c>
      <c r="C10" s="445"/>
      <c r="D10" s="445"/>
      <c r="E10" s="446"/>
      <c r="F10" s="362">
        <f>(L4+R4+L9+X4+AD4+AJ4+AP4+AV4+AV9+BB4+BB9*(BB8/1000)+BH4+BH9)/C5</f>
        <v>0.78</v>
      </c>
      <c r="G10" s="363">
        <f>F10/(F10+F11)</f>
        <v>0.59288537549407117</v>
      </c>
      <c r="H10" s="115" t="s">
        <v>27</v>
      </c>
      <c r="I10" s="338">
        <v>7.0000000000000007E-2</v>
      </c>
      <c r="J10" s="339">
        <f>+I10*$E4*$F9</f>
        <v>2.1</v>
      </c>
      <c r="K10" s="115" t="s">
        <v>28</v>
      </c>
      <c r="L10" s="340">
        <v>2</v>
      </c>
      <c r="M10" s="341">
        <f>L10/($F12*$E5)</f>
        <v>5.7262836419163958E-2</v>
      </c>
      <c r="N10" s="356" t="str">
        <f>VLOOKUP(N3,Friteuse!A:M,8,FALSE())</f>
        <v>Sel</v>
      </c>
      <c r="O10" s="125"/>
      <c r="P10" s="125"/>
      <c r="Q10" s="125"/>
      <c r="R10" s="512">
        <f>VLOOKUP(N3,Friteuse!A:M,9,FALSE())*P6</f>
        <v>0.12419999999999999</v>
      </c>
      <c r="S10" s="475"/>
      <c r="T10" s="356" t="str">
        <f>VLOOKUP(T3,Wok!A:M,8,FALSE())</f>
        <v>Creme culinaire</v>
      </c>
      <c r="U10" s="123"/>
      <c r="V10" s="123"/>
      <c r="W10" s="123"/>
      <c r="X10" s="512">
        <f>VLOOKUP(T3,Wok!A:M,9,FALSE())*V6</f>
        <v>4.1849999999999996</v>
      </c>
      <c r="Y10" s="475"/>
      <c r="Z10" s="356" t="str">
        <f>VLOOKUP(Z3,Poele!A:M,8,FALSE())</f>
        <v>oignons</v>
      </c>
      <c r="AA10" s="123"/>
      <c r="AB10" s="123"/>
      <c r="AC10" s="123"/>
      <c r="AD10" s="512">
        <f>VLOOKUP(Z3,Poele!A:M,9,FALSE())*AB6</f>
        <v>0.16200000000000001</v>
      </c>
      <c r="AE10" s="475"/>
      <c r="AF10" s="356" t="str">
        <f>VLOOKUP(AF3,Four!A:M,8,FALSE())</f>
        <v>Oignons</v>
      </c>
      <c r="AG10" s="123"/>
      <c r="AH10" s="123"/>
      <c r="AI10" s="123"/>
      <c r="AJ10" s="512">
        <f>VLOOKUP(AF3,Four!A:M,9,FALSE())*AH6</f>
        <v>1.62</v>
      </c>
      <c r="AK10" s="475"/>
      <c r="AL10" s="356">
        <f>VLOOKUP(AL3,Four!A:M,8,FALSE())</f>
        <v>0</v>
      </c>
      <c r="AM10" s="123"/>
      <c r="AN10" s="123"/>
      <c r="AO10" s="123"/>
      <c r="AP10" s="512">
        <f>VLOOKUP(AL3,Four!A:M,9,FALSE())*AN6</f>
        <v>0</v>
      </c>
      <c r="AQ10" s="475"/>
      <c r="AR10" s="115" t="s">
        <v>27</v>
      </c>
      <c r="AS10" s="338">
        <v>0.09</v>
      </c>
      <c r="AT10" s="339">
        <f>+AS10*$E4*$F9</f>
        <v>2.6999999999999997</v>
      </c>
      <c r="AU10" s="115" t="s">
        <v>28</v>
      </c>
      <c r="AV10" s="340">
        <v>2</v>
      </c>
      <c r="AW10" s="341">
        <f>AV10/($F12*$E5)</f>
        <v>5.7262836419163958E-2</v>
      </c>
      <c r="AX10" s="128" t="s">
        <v>27</v>
      </c>
      <c r="AY10" s="338">
        <v>0.03</v>
      </c>
      <c r="AZ10" s="364">
        <f>AY10*E4*F9/(BB8/1000)</f>
        <v>14.999999999999998</v>
      </c>
      <c r="BA10" s="115" t="s">
        <v>28</v>
      </c>
      <c r="BB10" s="365">
        <v>13</v>
      </c>
      <c r="BC10" s="341">
        <f>(BB10*BB8/1000)/($F12*$E5)</f>
        <v>2.2332506203473945E-2</v>
      </c>
      <c r="BD10" s="115" t="s">
        <v>27</v>
      </c>
      <c r="BE10" s="338">
        <v>7.0000000000000007E-2</v>
      </c>
      <c r="BF10" s="339">
        <f>+BE10*$E4*$F9</f>
        <v>2.1</v>
      </c>
      <c r="BG10" s="115" t="s">
        <v>28</v>
      </c>
      <c r="BH10" s="340">
        <v>2</v>
      </c>
      <c r="BI10" s="341">
        <f>BH10/($F12*$E5)</f>
        <v>5.7262836419163958E-2</v>
      </c>
    </row>
    <row r="11" spans="1:61" ht="17.25" customHeight="1">
      <c r="A11" s="278"/>
      <c r="B11" s="447"/>
      <c r="C11" s="434"/>
      <c r="D11" s="434"/>
      <c r="E11" s="435"/>
      <c r="F11" s="366">
        <f>(L5+L10+R5+X5+AD5+AJ5+AP5+AV5+AV10+BB5+BB10*(BB8/1000)+BH10+BH5)/E5</f>
        <v>0.53560000000000008</v>
      </c>
      <c r="G11" s="367">
        <f>F11/(F10+F11)</f>
        <v>0.40711462450592889</v>
      </c>
      <c r="H11" s="347" t="s">
        <v>31</v>
      </c>
      <c r="I11" s="348">
        <f>+J11/$G4</f>
        <v>4.2000000000000003E-2</v>
      </c>
      <c r="J11" s="118">
        <f>SUM(J9:J10)</f>
        <v>7.5600000000000005</v>
      </c>
      <c r="K11" s="119" t="s">
        <v>31</v>
      </c>
      <c r="L11" s="349">
        <f>SUM(L9:L10)</f>
        <v>6</v>
      </c>
      <c r="M11" s="350">
        <f>L11/($F12*$G5)</f>
        <v>5.7262836419163965E-2</v>
      </c>
      <c r="N11" s="356" t="str">
        <f>VLOOKUP(N3,Friteuse!A:M,10,FALSE())</f>
        <v>Panko</v>
      </c>
      <c r="O11" s="124"/>
      <c r="P11" s="124"/>
      <c r="Q11" s="124"/>
      <c r="R11" s="512">
        <f>VLOOKUP(N3,Friteuse!A:M,11,FALSE())*P6</f>
        <v>0.82799999999999996</v>
      </c>
      <c r="S11" s="475"/>
      <c r="T11" s="356" t="str">
        <f>VLOOKUP(T3,Wok!A:M,10,FALSE())</f>
        <v>Oignon</v>
      </c>
      <c r="U11" s="129"/>
      <c r="V11" s="129"/>
      <c r="W11" s="129"/>
      <c r="X11" s="512">
        <f>VLOOKUP(T3,Wok!A:M,11,FALSE())*V6</f>
        <v>1.395</v>
      </c>
      <c r="Y11" s="475"/>
      <c r="Z11" s="356" t="str">
        <f>VLOOKUP(Z3,Poele!A:M,10,FALSE())</f>
        <v>Ail</v>
      </c>
      <c r="AA11" s="129"/>
      <c r="AB11" s="129"/>
      <c r="AC11" s="129"/>
      <c r="AD11" s="512">
        <f>VLOOKUP(Z3,Poele!A:M,11,FALSE())*AB6</f>
        <v>9.7199999999999995E-2</v>
      </c>
      <c r="AE11" s="475"/>
      <c r="AF11" s="356" t="str">
        <f>VLOOKUP(AF3,Four!A:M,10,FALSE())</f>
        <v>Crème épaisse</v>
      </c>
      <c r="AG11" s="129"/>
      <c r="AH11" s="129"/>
      <c r="AI11" s="129"/>
      <c r="AJ11" s="512">
        <f>VLOOKUP(AF3,Four!A:M,11,FALSE())*AH6</f>
        <v>1.62</v>
      </c>
      <c r="AK11" s="475"/>
      <c r="AL11" s="356">
        <f>VLOOKUP(AL3,Four!A:M,10,FALSE())</f>
        <v>0</v>
      </c>
      <c r="AM11" s="129"/>
      <c r="AN11" s="129"/>
      <c r="AO11" s="129"/>
      <c r="AP11" s="512">
        <f>VLOOKUP(AL3,Four!A:M,11,FALSE())*AN6</f>
        <v>0</v>
      </c>
      <c r="AQ11" s="475"/>
      <c r="AR11" s="347" t="s">
        <v>31</v>
      </c>
      <c r="AS11" s="348">
        <f>+AT11/$G4</f>
        <v>4.9666666666666665E-2</v>
      </c>
      <c r="AT11" s="118">
        <f>SUM(AT9:AT10)</f>
        <v>8.94</v>
      </c>
      <c r="AU11" s="119" t="s">
        <v>31</v>
      </c>
      <c r="AV11" s="349">
        <f>SUM(AV9:AV10)</f>
        <v>6</v>
      </c>
      <c r="AW11" s="350">
        <f>AV11/($F12*$G5)</f>
        <v>5.7262836419163965E-2</v>
      </c>
      <c r="AX11" s="368" t="s">
        <v>31</v>
      </c>
      <c r="AY11" s="348"/>
      <c r="AZ11" s="130">
        <f>SUM(AZ9:AZ10)</f>
        <v>54</v>
      </c>
      <c r="BA11" s="119" t="s">
        <v>31</v>
      </c>
      <c r="BB11" s="369">
        <f>SUM(BB9:BB10)</f>
        <v>38</v>
      </c>
      <c r="BC11" s="350">
        <f>(BB11*BB8/1000)/($F12*$G5)</f>
        <v>2.1759877839282304E-2</v>
      </c>
      <c r="BD11" s="347" t="s">
        <v>31</v>
      </c>
      <c r="BE11" s="348">
        <f>+BF11/$G4</f>
        <v>4.2000000000000003E-2</v>
      </c>
      <c r="BF11" s="118">
        <f>SUM(BF9:BF10)</f>
        <v>7.5600000000000005</v>
      </c>
      <c r="BG11" s="119" t="s">
        <v>31</v>
      </c>
      <c r="BH11" s="349">
        <f>SUM(BH9:BH10)</f>
        <v>6</v>
      </c>
      <c r="BI11" s="350">
        <f>BH11/($F12*$G5)</f>
        <v>5.7262836419163965E-2</v>
      </c>
    </row>
    <row r="12" spans="1:61" ht="17.25" customHeight="1">
      <c r="A12" s="291"/>
      <c r="B12" s="525" t="s">
        <v>159</v>
      </c>
      <c r="C12" s="431"/>
      <c r="D12" s="431"/>
      <c r="E12" s="432"/>
      <c r="F12" s="526">
        <f>(L6+L11+R6+X6+AD6+AJ6+AP6+AV6+AV11+BB11*BB8/1000+BB6+BH6+BH11)/G5</f>
        <v>0.69853333333333334</v>
      </c>
      <c r="G12" s="435"/>
      <c r="H12" s="356" t="str">
        <f>VLOOKUP(H8,Plancha2!A:M,2,FALSE())</f>
        <v>Ingr1</v>
      </c>
      <c r="I12" s="131"/>
      <c r="J12" s="124"/>
      <c r="K12" s="124"/>
      <c r="L12" s="502">
        <f>J11</f>
        <v>7.5600000000000005</v>
      </c>
      <c r="M12" s="475"/>
      <c r="N12" s="356">
        <f>VLOOKUP(N3,Friteuse!A:M,12,FALSE())</f>
        <v>0</v>
      </c>
      <c r="O12" s="357"/>
      <c r="P12" s="357"/>
      <c r="Q12" s="357"/>
      <c r="R12" s="505">
        <f>VLOOKUP(N3,Friteuse!A:M,13,FALSE())*P6</f>
        <v>0</v>
      </c>
      <c r="S12" s="435"/>
      <c r="T12" s="356" t="str">
        <f>VLOOKUP(T3,Wok!A:M,12,FALSE())</f>
        <v>Base bouillon</v>
      </c>
      <c r="U12" s="370"/>
      <c r="V12" s="370"/>
      <c r="W12" s="370"/>
      <c r="X12" s="505">
        <f>VLOOKUP(T3,Wok!A:M,13,FALSE())*V6</f>
        <v>5.0219999999999994</v>
      </c>
      <c r="Y12" s="435"/>
      <c r="Z12" s="356" t="str">
        <f>VLOOKUP(Z3,Poele!A:M,12,FALSE())</f>
        <v>Cognac/Fumet poisson</v>
      </c>
      <c r="AA12" s="370"/>
      <c r="AB12" s="370"/>
      <c r="AC12" s="370"/>
      <c r="AD12" s="505">
        <f>VLOOKUP(Z3,Poele!A:M,13,FALSE())*AB6</f>
        <v>0</v>
      </c>
      <c r="AE12" s="435"/>
      <c r="AF12" s="356" t="str">
        <f>VLOOKUP(AF3,Four!A:M,12,FALSE())</f>
        <v>Vin blc</v>
      </c>
      <c r="AG12" s="370"/>
      <c r="AH12" s="370"/>
      <c r="AI12" s="370"/>
      <c r="AJ12" s="505">
        <f>VLOOKUP(AF3,Four!A:M,13,FALSE())*AH6</f>
        <v>0.97199999999999998</v>
      </c>
      <c r="AK12" s="435"/>
      <c r="AL12" s="356">
        <f>VLOOKUP(AL3,Four!A:M,12,FALSE())</f>
        <v>0</v>
      </c>
      <c r="AM12" s="370"/>
      <c r="AN12" s="370"/>
      <c r="AO12" s="370"/>
      <c r="AP12" s="505">
        <f>VLOOKUP(AL3,Four!A:M,13,FALSE())*AN6</f>
        <v>0</v>
      </c>
      <c r="AQ12" s="435"/>
      <c r="AR12" s="371" t="s">
        <v>74</v>
      </c>
      <c r="AS12" s="131"/>
      <c r="AT12" s="124"/>
      <c r="AU12" s="124"/>
      <c r="AV12" s="502">
        <f>AT11</f>
        <v>8.94</v>
      </c>
      <c r="AW12" s="475"/>
      <c r="AX12" s="504" t="s">
        <v>75</v>
      </c>
      <c r="AY12" s="461"/>
      <c r="AZ12" s="461"/>
      <c r="BA12" s="372"/>
      <c r="BB12" s="502">
        <f>AZ11*(BB8/1000)</f>
        <v>3.2399999999999998</v>
      </c>
      <c r="BC12" s="475"/>
      <c r="BD12" s="524" t="s">
        <v>115</v>
      </c>
      <c r="BE12" s="461"/>
      <c r="BF12" s="461"/>
      <c r="BG12" s="372"/>
      <c r="BH12" s="502">
        <f>BF11</f>
        <v>7.5600000000000005</v>
      </c>
      <c r="BI12" s="503"/>
    </row>
    <row r="13" spans="1:61" ht="17.25" customHeight="1">
      <c r="A13" s="55">
        <f>A3+1</f>
        <v>45335</v>
      </c>
      <c r="B13" s="520" t="s">
        <v>8</v>
      </c>
      <c r="C13" s="435"/>
      <c r="D13" s="520" t="s">
        <v>9</v>
      </c>
      <c r="E13" s="435"/>
      <c r="F13" s="83" t="s">
        <v>10</v>
      </c>
      <c r="G13" s="312"/>
      <c r="H13" s="551" t="s">
        <v>149</v>
      </c>
      <c r="I13" s="552" t="s">
        <v>149</v>
      </c>
      <c r="J13" s="552" t="s">
        <v>149</v>
      </c>
      <c r="K13" s="552" t="s">
        <v>149</v>
      </c>
      <c r="L13" s="552" t="s">
        <v>149</v>
      </c>
      <c r="M13" s="553" t="s">
        <v>149</v>
      </c>
      <c r="N13" s="522" t="s">
        <v>150</v>
      </c>
      <c r="O13" s="431" t="s">
        <v>150</v>
      </c>
      <c r="P13" s="431" t="s">
        <v>150</v>
      </c>
      <c r="Q13" s="431" t="s">
        <v>150</v>
      </c>
      <c r="R13" s="431" t="s">
        <v>150</v>
      </c>
      <c r="S13" s="432" t="s">
        <v>150</v>
      </c>
      <c r="T13" s="523" t="s">
        <v>185</v>
      </c>
      <c r="U13" s="431" t="s">
        <v>185</v>
      </c>
      <c r="V13" s="431" t="s">
        <v>185</v>
      </c>
      <c r="W13" s="431" t="s">
        <v>185</v>
      </c>
      <c r="X13" s="431" t="s">
        <v>185</v>
      </c>
      <c r="Y13" s="432" t="s">
        <v>185</v>
      </c>
      <c r="Z13" s="560" t="s">
        <v>280</v>
      </c>
      <c r="AA13" s="552" t="s">
        <v>280</v>
      </c>
      <c r="AB13" s="552" t="s">
        <v>280</v>
      </c>
      <c r="AC13" s="552" t="s">
        <v>280</v>
      </c>
      <c r="AD13" s="552" t="s">
        <v>280</v>
      </c>
      <c r="AE13" s="553" t="s">
        <v>280</v>
      </c>
      <c r="AF13" s="519" t="s">
        <v>208</v>
      </c>
      <c r="AG13" s="431" t="s">
        <v>208</v>
      </c>
      <c r="AH13" s="431" t="s">
        <v>208</v>
      </c>
      <c r="AI13" s="431" t="s">
        <v>208</v>
      </c>
      <c r="AJ13" s="431" t="s">
        <v>208</v>
      </c>
      <c r="AK13" s="432" t="s">
        <v>208</v>
      </c>
      <c r="AL13" s="557" t="s">
        <v>296</v>
      </c>
      <c r="AM13" s="558" t="s">
        <v>296</v>
      </c>
      <c r="AN13" s="558" t="s">
        <v>296</v>
      </c>
      <c r="AO13" s="558" t="s">
        <v>296</v>
      </c>
      <c r="AP13" s="558" t="s">
        <v>296</v>
      </c>
      <c r="AQ13" s="559" t="s">
        <v>296</v>
      </c>
      <c r="AR13" s="481" t="s">
        <v>18</v>
      </c>
      <c r="AS13" s="431"/>
      <c r="AT13" s="431"/>
      <c r="AU13" s="431"/>
      <c r="AV13" s="431"/>
      <c r="AW13" s="432"/>
      <c r="AX13" s="482" t="s">
        <v>154</v>
      </c>
      <c r="AY13" s="434"/>
      <c r="AZ13" s="434"/>
      <c r="BA13" s="434"/>
      <c r="BB13" s="434"/>
      <c r="BC13" s="435"/>
      <c r="BD13" s="483" t="s">
        <v>155</v>
      </c>
      <c r="BE13" s="431"/>
      <c r="BF13" s="431"/>
      <c r="BG13" s="431"/>
      <c r="BH13" s="431"/>
      <c r="BI13" s="484"/>
    </row>
    <row r="14" spans="1:61" ht="17.25" customHeight="1">
      <c r="A14" s="269"/>
      <c r="B14" s="270" t="s">
        <v>22</v>
      </c>
      <c r="C14" s="271">
        <v>100</v>
      </c>
      <c r="D14" s="270" t="s">
        <v>22</v>
      </c>
      <c r="E14" s="272">
        <v>50</v>
      </c>
      <c r="F14" s="270" t="s">
        <v>22</v>
      </c>
      <c r="G14" s="56">
        <f t="shared" ref="G14:G15" si="1">+C14+E14</f>
        <v>150</v>
      </c>
      <c r="H14" s="276" t="s">
        <v>23</v>
      </c>
      <c r="I14" s="62">
        <v>0.05</v>
      </c>
      <c r="J14" s="63">
        <f>+I14*$C14*$F19</f>
        <v>3</v>
      </c>
      <c r="K14" s="276" t="s">
        <v>24</v>
      </c>
      <c r="L14" s="64">
        <v>3</v>
      </c>
      <c r="M14" s="277">
        <f>L14/($F22*$C15)</f>
        <v>5.1264524948735471E-2</v>
      </c>
      <c r="N14" s="273" t="s">
        <v>23</v>
      </c>
      <c r="O14" s="57">
        <v>0.01</v>
      </c>
      <c r="P14" s="58">
        <f>+O14*$C14*$F19</f>
        <v>0.6</v>
      </c>
      <c r="Q14" s="273" t="s">
        <v>24</v>
      </c>
      <c r="R14" s="84">
        <v>0.5</v>
      </c>
      <c r="S14" s="313">
        <f>R14/($F22*$C15)</f>
        <v>8.5440874914559112E-3</v>
      </c>
      <c r="T14" s="274" t="s">
        <v>23</v>
      </c>
      <c r="U14" s="60">
        <v>0.05</v>
      </c>
      <c r="V14" s="61">
        <f>+U14*$C14*$F19</f>
        <v>3</v>
      </c>
      <c r="W14" s="274" t="s">
        <v>24</v>
      </c>
      <c r="X14" s="59">
        <v>3</v>
      </c>
      <c r="Y14" s="275">
        <f>X14/($F22*$C15)</f>
        <v>5.1264524948735471E-2</v>
      </c>
      <c r="Z14" s="274" t="s">
        <v>23</v>
      </c>
      <c r="AA14" s="60">
        <v>0.03</v>
      </c>
      <c r="AB14" s="61">
        <f>+AA14*$C14*$F19</f>
        <v>1.7999999999999998</v>
      </c>
      <c r="AC14" s="274" t="s">
        <v>24</v>
      </c>
      <c r="AD14" s="59">
        <v>2</v>
      </c>
      <c r="AE14" s="275">
        <f>AD14/($F22*$C15)</f>
        <v>3.4176349965823645E-2</v>
      </c>
      <c r="AF14" s="274" t="s">
        <v>23</v>
      </c>
      <c r="AG14" s="60">
        <v>0.1</v>
      </c>
      <c r="AH14" s="61">
        <f>+AG14*$C14*$F19</f>
        <v>6</v>
      </c>
      <c r="AI14" s="274" t="s">
        <v>24</v>
      </c>
      <c r="AJ14" s="59">
        <v>6</v>
      </c>
      <c r="AK14" s="275">
        <f>AJ14/($F22*$C15)</f>
        <v>0.10252904989747094</v>
      </c>
      <c r="AL14" s="274" t="s">
        <v>23</v>
      </c>
      <c r="AM14" s="60">
        <v>0.05</v>
      </c>
      <c r="AN14" s="61">
        <f>+AM14*$C14*$F19</f>
        <v>3</v>
      </c>
      <c r="AO14" s="274" t="s">
        <v>24</v>
      </c>
      <c r="AP14" s="59">
        <v>3</v>
      </c>
      <c r="AQ14" s="275">
        <f>AP14/($F22*$C15)</f>
        <v>5.1264524948735471E-2</v>
      </c>
      <c r="AR14" s="276" t="s">
        <v>23</v>
      </c>
      <c r="AS14" s="62">
        <v>0.08</v>
      </c>
      <c r="AT14" s="63">
        <f>+AS14*$C14*$F19</f>
        <v>4.8</v>
      </c>
      <c r="AU14" s="276" t="s">
        <v>24</v>
      </c>
      <c r="AV14" s="64">
        <v>4</v>
      </c>
      <c r="AW14" s="277">
        <f>AV14/($F22*$C15)</f>
        <v>6.835269993164729E-2</v>
      </c>
      <c r="AX14" s="276" t="s">
        <v>23</v>
      </c>
      <c r="AY14" s="62">
        <v>0.43</v>
      </c>
      <c r="AZ14" s="63">
        <f>+AY14*$C14*$F19</f>
        <v>25.8</v>
      </c>
      <c r="BA14" s="276" t="s">
        <v>24</v>
      </c>
      <c r="BB14" s="64">
        <v>25</v>
      </c>
      <c r="BC14" s="277">
        <f>BB14/($F22*$C15)</f>
        <v>0.42720437457279559</v>
      </c>
      <c r="BD14" s="276" t="s">
        <v>23</v>
      </c>
      <c r="BE14" s="62">
        <v>0.02</v>
      </c>
      <c r="BF14" s="63">
        <f>+BE14*$C14*$F19</f>
        <v>1.2</v>
      </c>
      <c r="BG14" s="276" t="s">
        <v>24</v>
      </c>
      <c r="BH14" s="64">
        <v>1</v>
      </c>
      <c r="BI14" s="65">
        <f>BH14/($F22*$C15)</f>
        <v>1.7088174982911822E-2</v>
      </c>
    </row>
    <row r="15" spans="1:61" ht="17.25" customHeight="1">
      <c r="A15" s="278" t="s">
        <v>79</v>
      </c>
      <c r="B15" s="266" t="s">
        <v>26</v>
      </c>
      <c r="C15" s="66">
        <v>100</v>
      </c>
      <c r="D15" s="266" t="s">
        <v>26</v>
      </c>
      <c r="E15" s="67">
        <v>50</v>
      </c>
      <c r="F15" s="266" t="s">
        <v>26</v>
      </c>
      <c r="G15" s="279">
        <f t="shared" si="1"/>
        <v>150</v>
      </c>
      <c r="H15" s="70" t="s">
        <v>27</v>
      </c>
      <c r="I15" s="286">
        <v>0.03</v>
      </c>
      <c r="J15" s="287">
        <f>+I15*$E14*$F19</f>
        <v>0.89999999999999991</v>
      </c>
      <c r="K15" s="70" t="s">
        <v>28</v>
      </c>
      <c r="L15" s="288">
        <v>1</v>
      </c>
      <c r="M15" s="289">
        <f>L15/($F22*$E15)</f>
        <v>3.4176349965823645E-2</v>
      </c>
      <c r="N15" s="68" t="s">
        <v>27</v>
      </c>
      <c r="O15" s="280">
        <v>0.02</v>
      </c>
      <c r="P15" s="281">
        <f>+O15*$E14*$F19</f>
        <v>0.6</v>
      </c>
      <c r="Q15" s="68" t="s">
        <v>28</v>
      </c>
      <c r="R15" s="314">
        <v>0.5</v>
      </c>
      <c r="S15" s="315">
        <f>R15/($F22*$E15)</f>
        <v>1.7088174982911822E-2</v>
      </c>
      <c r="T15" s="69" t="s">
        <v>27</v>
      </c>
      <c r="U15" s="284">
        <v>0.03</v>
      </c>
      <c r="V15" s="285">
        <f>+U15*$E14*$F19</f>
        <v>0.89999999999999991</v>
      </c>
      <c r="W15" s="69" t="s">
        <v>28</v>
      </c>
      <c r="X15" s="282">
        <v>1</v>
      </c>
      <c r="Y15" s="283">
        <f>X15/($F22*$E15)</f>
        <v>3.4176349965823645E-2</v>
      </c>
      <c r="Z15" s="69" t="s">
        <v>27</v>
      </c>
      <c r="AA15" s="284">
        <v>0.03</v>
      </c>
      <c r="AB15" s="285">
        <f>+AA15*$E14*$F19</f>
        <v>0.89999999999999991</v>
      </c>
      <c r="AC15" s="69" t="s">
        <v>28</v>
      </c>
      <c r="AD15" s="282">
        <v>1</v>
      </c>
      <c r="AE15" s="283">
        <f>AD15/($F22*$E15)</f>
        <v>3.4176349965823645E-2</v>
      </c>
      <c r="AF15" s="69" t="s">
        <v>27</v>
      </c>
      <c r="AG15" s="284">
        <v>0.1</v>
      </c>
      <c r="AH15" s="285">
        <f>+AG15*$E14*$F19</f>
        <v>3</v>
      </c>
      <c r="AI15" s="69" t="s">
        <v>28</v>
      </c>
      <c r="AJ15" s="282">
        <v>3</v>
      </c>
      <c r="AK15" s="283">
        <f>AJ15/($F22*$E15)</f>
        <v>0.10252904989747094</v>
      </c>
      <c r="AL15" s="69" t="s">
        <v>27</v>
      </c>
      <c r="AM15" s="284">
        <v>0.03</v>
      </c>
      <c r="AN15" s="285">
        <f>+AM15*$E14*$F19</f>
        <v>0.89999999999999991</v>
      </c>
      <c r="AO15" s="69" t="s">
        <v>28</v>
      </c>
      <c r="AP15" s="282">
        <v>1</v>
      </c>
      <c r="AQ15" s="283">
        <f>AP15/($F22*$E15)</f>
        <v>3.4176349965823645E-2</v>
      </c>
      <c r="AR15" s="70" t="s">
        <v>27</v>
      </c>
      <c r="AS15" s="286">
        <v>0.09</v>
      </c>
      <c r="AT15" s="287">
        <f>+AS15*$E14*$F19</f>
        <v>2.6999999999999997</v>
      </c>
      <c r="AU15" s="70" t="s">
        <v>28</v>
      </c>
      <c r="AV15" s="288">
        <v>2</v>
      </c>
      <c r="AW15" s="289">
        <f>AV15/($F22*$E15)</f>
        <v>6.835269993164729E-2</v>
      </c>
      <c r="AX15" s="70" t="s">
        <v>27</v>
      </c>
      <c r="AY15" s="286">
        <v>0.34</v>
      </c>
      <c r="AZ15" s="287">
        <f>+AY15*$E14*$F19</f>
        <v>10.199999999999999</v>
      </c>
      <c r="BA15" s="70" t="s">
        <v>28</v>
      </c>
      <c r="BB15" s="288">
        <v>10</v>
      </c>
      <c r="BC15" s="289">
        <f>BB15/($F22*$E15)</f>
        <v>0.34176349965823649</v>
      </c>
      <c r="BD15" s="70" t="s">
        <v>27</v>
      </c>
      <c r="BE15" s="286">
        <v>0.02</v>
      </c>
      <c r="BF15" s="287">
        <f>+BE15*$E14*$F19</f>
        <v>0.6</v>
      </c>
      <c r="BG15" s="70" t="s">
        <v>28</v>
      </c>
      <c r="BH15" s="288">
        <v>0.5</v>
      </c>
      <c r="BI15" s="290">
        <f>BH15/($F22*$E15)</f>
        <v>1.7088174982911822E-2</v>
      </c>
    </row>
    <row r="16" spans="1:61" ht="17.25" customHeight="1">
      <c r="A16" s="291" t="s">
        <v>80</v>
      </c>
      <c r="B16" s="532" t="s">
        <v>30</v>
      </c>
      <c r="C16" s="454"/>
      <c r="D16" s="455"/>
      <c r="E16" s="533">
        <f>(I14+O14+U14+AA14+AG14+AM14+AS14+AY14+BE14+BE19+AY19+AS19+I19)/2</f>
        <v>0.53500000000000014</v>
      </c>
      <c r="F16" s="457"/>
      <c r="G16" s="534">
        <f>(E16+E17)</f>
        <v>1.0100000000000002</v>
      </c>
      <c r="H16" s="298" t="s">
        <v>31</v>
      </c>
      <c r="I16" s="299">
        <f>+J16/$G14</f>
        <v>2.5999999999999999E-2</v>
      </c>
      <c r="J16" s="74">
        <f>SUM(J14:J15)</f>
        <v>3.9</v>
      </c>
      <c r="K16" s="75" t="s">
        <v>31</v>
      </c>
      <c r="L16" s="300">
        <f>SUM(L14:L15)</f>
        <v>4</v>
      </c>
      <c r="M16" s="301">
        <f>L16/($F22*$G15)</f>
        <v>4.5568466621098203E-2</v>
      </c>
      <c r="N16" s="292" t="s">
        <v>31</v>
      </c>
      <c r="O16" s="293">
        <f>+P16/$G14</f>
        <v>8.0000000000000002E-3</v>
      </c>
      <c r="P16" s="71">
        <f>SUM(P14:P15)</f>
        <v>1.2</v>
      </c>
      <c r="Q16" s="85" t="s">
        <v>31</v>
      </c>
      <c r="R16" s="316">
        <f>SUM(R14:R15)</f>
        <v>1</v>
      </c>
      <c r="S16" s="295">
        <f>R16/($F22*$G15)</f>
        <v>1.1392116655274551E-2</v>
      </c>
      <c r="T16" s="296" t="s">
        <v>31</v>
      </c>
      <c r="U16" s="297">
        <f>+V16/$G14</f>
        <v>2.5999999999999999E-2</v>
      </c>
      <c r="V16" s="73">
        <f>SUM(V14:V15)</f>
        <v>3.9</v>
      </c>
      <c r="W16" s="72" t="s">
        <v>31</v>
      </c>
      <c r="X16" s="294">
        <f>SUM(X14:X15)</f>
        <v>4</v>
      </c>
      <c r="Y16" s="295">
        <f>X16/($F22*$G15)</f>
        <v>4.5568466621098203E-2</v>
      </c>
      <c r="Z16" s="296" t="s">
        <v>31</v>
      </c>
      <c r="AA16" s="297">
        <f>+AB16/$G14</f>
        <v>1.7999999999999999E-2</v>
      </c>
      <c r="AB16" s="73">
        <f>SUM(AB14:AB15)</f>
        <v>2.6999999999999997</v>
      </c>
      <c r="AC16" s="72" t="s">
        <v>31</v>
      </c>
      <c r="AD16" s="294">
        <f>SUM(AD14:AD15)</f>
        <v>3</v>
      </c>
      <c r="AE16" s="295">
        <f>AD16/($F22*$G15)</f>
        <v>3.4176349965823652E-2</v>
      </c>
      <c r="AF16" s="296" t="s">
        <v>31</v>
      </c>
      <c r="AG16" s="297">
        <f>+AH16/$G14</f>
        <v>0.06</v>
      </c>
      <c r="AH16" s="73">
        <f>SUM(AH14:AH15)</f>
        <v>9</v>
      </c>
      <c r="AI16" s="72" t="s">
        <v>31</v>
      </c>
      <c r="AJ16" s="294">
        <f>SUM(AJ14:AJ15)</f>
        <v>9</v>
      </c>
      <c r="AK16" s="295">
        <f>AJ16/($F22*$G15)</f>
        <v>0.10252904989747094</v>
      </c>
      <c r="AL16" s="296" t="s">
        <v>31</v>
      </c>
      <c r="AM16" s="297">
        <f>+AN16/$G14</f>
        <v>2.5999999999999999E-2</v>
      </c>
      <c r="AN16" s="73">
        <f>SUM(AN14:AN15)</f>
        <v>3.9</v>
      </c>
      <c r="AO16" s="72" t="s">
        <v>31</v>
      </c>
      <c r="AP16" s="294">
        <f>SUM(AP14:AP15)</f>
        <v>4</v>
      </c>
      <c r="AQ16" s="295">
        <f>AP16/($F22*$G15)</f>
        <v>4.5568466621098203E-2</v>
      </c>
      <c r="AR16" s="298" t="s">
        <v>31</v>
      </c>
      <c r="AS16" s="299">
        <f>+AT16/$G14</f>
        <v>0.05</v>
      </c>
      <c r="AT16" s="74">
        <f>SUM(AT14:AT15)</f>
        <v>7.5</v>
      </c>
      <c r="AU16" s="75" t="s">
        <v>31</v>
      </c>
      <c r="AV16" s="300">
        <f>SUM(AV14:AV15)</f>
        <v>6</v>
      </c>
      <c r="AW16" s="301">
        <f>AV16/($F22*$G15)</f>
        <v>6.8352699931647304E-2</v>
      </c>
      <c r="AX16" s="298" t="s">
        <v>31</v>
      </c>
      <c r="AY16" s="299">
        <f>+AZ16/$G14</f>
        <v>0.24</v>
      </c>
      <c r="AZ16" s="74">
        <f>SUM(AZ14:AZ15)</f>
        <v>36</v>
      </c>
      <c r="BA16" s="75" t="s">
        <v>31</v>
      </c>
      <c r="BB16" s="300">
        <f>SUM(BB14:BB15)</f>
        <v>35</v>
      </c>
      <c r="BC16" s="301">
        <f>BB16/($F22*$G15)</f>
        <v>0.39872408293460926</v>
      </c>
      <c r="BD16" s="298" t="s">
        <v>31</v>
      </c>
      <c r="BE16" s="299">
        <f>+BF16/$G14</f>
        <v>1.1999999999999999E-2</v>
      </c>
      <c r="BF16" s="74">
        <f>SUM(BF14:BF15)</f>
        <v>1.7999999999999998</v>
      </c>
      <c r="BG16" s="75" t="s">
        <v>31</v>
      </c>
      <c r="BH16" s="300">
        <f>SUM(BH14:BH15)</f>
        <v>1.5</v>
      </c>
      <c r="BI16" s="76">
        <f>BH16/($F22*$G15)</f>
        <v>1.7088174982911826E-2</v>
      </c>
    </row>
    <row r="17" spans="1:61" ht="17.25" customHeight="1">
      <c r="A17" s="291" t="s">
        <v>81</v>
      </c>
      <c r="B17" s="535" t="s">
        <v>34</v>
      </c>
      <c r="C17" s="461"/>
      <c r="D17" s="462"/>
      <c r="E17" s="536">
        <f>(I15+O15+U15+AA15+AG15+AM15+AS15+AY15+BE15+AS20+AY20+BE20+I20)/2</f>
        <v>0.47500000000000009</v>
      </c>
      <c r="F17" s="464"/>
      <c r="G17" s="459"/>
      <c r="H17" s="537" t="str">
        <f>VLOOKUP(H13,Plancha2!A:M,2,FALSE())</f>
        <v>Poisson</v>
      </c>
      <c r="I17" s="474"/>
      <c r="J17" s="474"/>
      <c r="K17" s="306"/>
      <c r="L17" s="529">
        <f>J16</f>
        <v>3.9</v>
      </c>
      <c r="M17" s="475"/>
      <c r="N17" s="304" t="str">
        <f>VLOOKUP(N13,Friteuse!A:M,2,FALSE())</f>
        <v>Falafel</v>
      </c>
      <c r="O17" s="305"/>
      <c r="P17" s="305"/>
      <c r="Q17" s="77"/>
      <c r="R17" s="529">
        <f>VLOOKUP(N13,Friteuse!A:M,3,FALSE())*P16</f>
        <v>1.2</v>
      </c>
      <c r="S17" s="475"/>
      <c r="T17" s="302" t="str">
        <f>VLOOKUP(T13,Wok!A:M,2,FALSE())</f>
        <v>Aiguillettes</v>
      </c>
      <c r="U17" s="303"/>
      <c r="V17" s="303"/>
      <c r="W17" s="77"/>
      <c r="X17" s="529">
        <f>VLOOKUP(T13,Wok!A:M,3,FALSE())*V16</f>
        <v>2.5350000000000001</v>
      </c>
      <c r="Y17" s="475"/>
      <c r="Z17" s="302" t="str">
        <f>VLOOKUP(Z13,Poele!A:M,2,FALSE())</f>
        <v>Courgette</v>
      </c>
      <c r="AA17" s="303"/>
      <c r="AB17" s="303"/>
      <c r="AC17" s="77"/>
      <c r="AD17" s="529">
        <f>VLOOKUP(Z13,Poele!A:M,3,FALSE())*AB16</f>
        <v>1.2149999999999999</v>
      </c>
      <c r="AE17" s="475"/>
      <c r="AF17" s="302" t="str">
        <f>VLOOKUP(AF13,Four!A:M,2,FALSE())</f>
        <v>PDT</v>
      </c>
      <c r="AG17" s="303"/>
      <c r="AH17" s="303"/>
      <c r="AI17" s="77"/>
      <c r="AJ17" s="529">
        <f>VLOOKUP(AF13,Four!A:M,3,FALSE())*AH16</f>
        <v>4.5</v>
      </c>
      <c r="AK17" s="475"/>
      <c r="AL17" s="302" t="str">
        <f>VLOOKUP(AL13,Four!A:M,2,FALSE())</f>
        <v>Poisson</v>
      </c>
      <c r="AM17" s="303"/>
      <c r="AN17" s="303"/>
      <c r="AO17" s="77"/>
      <c r="AP17" s="529">
        <f>VLOOKUP(AL13,Four!A:M,3,FALSE())*AN16</f>
        <v>1.677</v>
      </c>
      <c r="AQ17" s="475"/>
      <c r="AR17" s="538" t="s">
        <v>42</v>
      </c>
      <c r="AS17" s="461"/>
      <c r="AT17" s="461"/>
      <c r="AU17" s="306"/>
      <c r="AV17" s="529">
        <f>AT16</f>
        <v>7.5</v>
      </c>
      <c r="AW17" s="475"/>
      <c r="AX17" s="528" t="s">
        <v>156</v>
      </c>
      <c r="AY17" s="471"/>
      <c r="AZ17" s="471"/>
      <c r="BA17" s="78"/>
      <c r="BB17" s="529">
        <f>AZ16</f>
        <v>36</v>
      </c>
      <c r="BC17" s="475"/>
      <c r="BD17" s="528" t="s">
        <v>157</v>
      </c>
      <c r="BE17" s="471"/>
      <c r="BF17" s="471"/>
      <c r="BG17" s="78"/>
      <c r="BH17" s="529">
        <f>BF16</f>
        <v>1.7999999999999998</v>
      </c>
      <c r="BI17" s="503"/>
    </row>
    <row r="18" spans="1:61" ht="17.25" customHeight="1">
      <c r="A18" s="291" t="s">
        <v>45</v>
      </c>
      <c r="B18" s="539" t="s">
        <v>46</v>
      </c>
      <c r="C18" s="445"/>
      <c r="D18" s="517"/>
      <c r="E18" s="540">
        <f>(L16+R16+X16+AD16+AJ16+AP16+AV16+BB16+BH16+BH21+(BB21*BB18/1000)+L21+AV21)/(G15*F22)</f>
        <v>1</v>
      </c>
      <c r="F18" s="474"/>
      <c r="G18" s="475"/>
      <c r="H18" s="551" t="s">
        <v>160</v>
      </c>
      <c r="I18" s="552"/>
      <c r="J18" s="552"/>
      <c r="K18" s="552"/>
      <c r="L18" s="552"/>
      <c r="M18" s="553"/>
      <c r="N18" s="304">
        <f>VLOOKUP(N13,Friteuse!A:M,4,FALSE())</f>
        <v>0</v>
      </c>
      <c r="O18" s="79"/>
      <c r="P18" s="79"/>
      <c r="Q18" s="79"/>
      <c r="R18" s="530">
        <f>VLOOKUP(N13,Friteuse!A:M,5,FALSE())*P16</f>
        <v>0</v>
      </c>
      <c r="S18" s="475"/>
      <c r="T18" s="302" t="str">
        <f>VLOOKUP(T13,Wok!A:M,4,FALSE())</f>
        <v>Gingembre</v>
      </c>
      <c r="U18" s="77"/>
      <c r="V18" s="77"/>
      <c r="W18" s="77"/>
      <c r="X18" s="530">
        <f>VLOOKUP(T13,Wok!A:M,5,FALSE())*V16</f>
        <v>9.7500000000000003E-2</v>
      </c>
      <c r="Y18" s="475"/>
      <c r="Z18" s="302" t="str">
        <f>VLOOKUP(Z13,Poele!A:M,4,FALSE())</f>
        <v>Carotte</v>
      </c>
      <c r="AA18" s="77"/>
      <c r="AB18" s="77"/>
      <c r="AC18" s="77"/>
      <c r="AD18" s="530">
        <f>VLOOKUP(Z13,Poele!A:M,5,FALSE())*AB16</f>
        <v>1.2149999999999999</v>
      </c>
      <c r="AE18" s="475"/>
      <c r="AF18" s="302" t="str">
        <f>VLOOKUP(AF13,Four!A:M,4,FALSE())</f>
        <v>Reblochon</v>
      </c>
      <c r="AG18" s="77"/>
      <c r="AH18" s="77"/>
      <c r="AI18" s="77"/>
      <c r="AJ18" s="530">
        <f>VLOOKUP(AF13,Four!A:M,5,FALSE())*AH16</f>
        <v>2.4300000000000002</v>
      </c>
      <c r="AK18" s="475"/>
      <c r="AL18" s="302" t="str">
        <f>VLOOKUP(AL13,Four!A:M,4,FALSE())</f>
        <v xml:space="preserve">Tomate  </v>
      </c>
      <c r="AM18" s="77"/>
      <c r="AN18" s="77"/>
      <c r="AO18" s="77"/>
      <c r="AP18" s="530">
        <f>VLOOKUP(AL13,Four!A:M,5,FALSE())*AN16</f>
        <v>1.0529999999999999</v>
      </c>
      <c r="AQ18" s="475"/>
      <c r="AR18" s="481" t="s">
        <v>54</v>
      </c>
      <c r="AS18" s="431"/>
      <c r="AT18" s="431"/>
      <c r="AU18" s="431"/>
      <c r="AV18" s="431"/>
      <c r="AW18" s="432"/>
      <c r="AX18" s="481" t="s">
        <v>55</v>
      </c>
      <c r="AY18" s="431"/>
      <c r="AZ18" s="431"/>
      <c r="BA18" s="431"/>
      <c r="BB18" s="531">
        <v>60</v>
      </c>
      <c r="BC18" s="432"/>
      <c r="BD18" s="483" t="s">
        <v>285</v>
      </c>
      <c r="BE18" s="431"/>
      <c r="BF18" s="431"/>
      <c r="BG18" s="431"/>
      <c r="BH18" s="431"/>
      <c r="BI18" s="484"/>
    </row>
    <row r="19" spans="1:61" ht="17.25" customHeight="1">
      <c r="A19" s="291" t="s">
        <v>56</v>
      </c>
      <c r="B19" s="513" t="s">
        <v>158</v>
      </c>
      <c r="C19" s="445"/>
      <c r="D19" s="445"/>
      <c r="E19" s="445"/>
      <c r="F19" s="541">
        <v>0.6</v>
      </c>
      <c r="G19" s="446"/>
      <c r="H19" s="276" t="s">
        <v>23</v>
      </c>
      <c r="I19" s="62">
        <v>7.0000000000000007E-2</v>
      </c>
      <c r="J19" s="63">
        <f>+I19*$C14*$F$9</f>
        <v>4.2</v>
      </c>
      <c r="K19" s="276" t="s">
        <v>24</v>
      </c>
      <c r="L19" s="64">
        <v>4</v>
      </c>
      <c r="M19" s="277">
        <f>L19/($F22*$C15)</f>
        <v>6.835269993164729E-2</v>
      </c>
      <c r="N19" s="304">
        <f>VLOOKUP(N13,Friteuse!A:M,6,FALSE())</f>
        <v>0</v>
      </c>
      <c r="O19" s="79"/>
      <c r="P19" s="79"/>
      <c r="Q19" s="79"/>
      <c r="R19" s="530">
        <f>VLOOKUP(N13,Friteuse!A:M,7,FALSE())*P16</f>
        <v>0</v>
      </c>
      <c r="S19" s="475"/>
      <c r="T19" s="302" t="str">
        <f>VLOOKUP(T13,Wok!A:M,6,FALSE())</f>
        <v>Miel</v>
      </c>
      <c r="U19" s="77"/>
      <c r="V19" s="77"/>
      <c r="W19" s="77"/>
      <c r="X19" s="530">
        <f>VLOOKUP(T13,Wok!A:M,7,FALSE())*V16</f>
        <v>0.39</v>
      </c>
      <c r="Y19" s="475"/>
      <c r="Z19" s="302" t="str">
        <f>VLOOKUP(Z13,Poele!A:M,6,FALSE())</f>
        <v>Sel</v>
      </c>
      <c r="AA19" s="77"/>
      <c r="AB19" s="77"/>
      <c r="AC19" s="77"/>
      <c r="AD19" s="530">
        <f>VLOOKUP(Z13,Poele!A:M,7,FALSE())*AB16</f>
        <v>2.6999999999999996E-2</v>
      </c>
      <c r="AE19" s="475"/>
      <c r="AF19" s="302" t="str">
        <f>VLOOKUP(AF13,Four!A:M,6,FALSE())</f>
        <v>Lardons fumés</v>
      </c>
      <c r="AG19" s="77"/>
      <c r="AH19" s="77"/>
      <c r="AI19" s="77"/>
      <c r="AJ19" s="530">
        <f>VLOOKUP(AF13,Four!A:M,7,FALSE())*AH16</f>
        <v>0.9</v>
      </c>
      <c r="AK19" s="475"/>
      <c r="AL19" s="302" t="str">
        <f>VLOOKUP(AL13,Four!A:M,6,FALSE())</f>
        <v>Poivron rge/vert</v>
      </c>
      <c r="AM19" s="77"/>
      <c r="AN19" s="77"/>
      <c r="AO19" s="77"/>
      <c r="AP19" s="530">
        <f>VLOOKUP(AL13,Four!A:M,7,FALSE())*AN16</f>
        <v>0.85799999999999998</v>
      </c>
      <c r="AQ19" s="475"/>
      <c r="AR19" s="276" t="s">
        <v>23</v>
      </c>
      <c r="AS19" s="62">
        <v>0.08</v>
      </c>
      <c r="AT19" s="63">
        <f>+AS19*$C14*$F$9</f>
        <v>4.8</v>
      </c>
      <c r="AU19" s="276" t="s">
        <v>24</v>
      </c>
      <c r="AV19" s="64">
        <v>4</v>
      </c>
      <c r="AW19" s="277">
        <f>AV19/($F22*$C15)</f>
        <v>6.835269993164729E-2</v>
      </c>
      <c r="AX19" s="307" t="s">
        <v>23</v>
      </c>
      <c r="AY19" s="62">
        <v>0.03</v>
      </c>
      <c r="AZ19" s="95">
        <f>AY19*C14*F19/(BB18/1000)</f>
        <v>29.999999999999996</v>
      </c>
      <c r="BA19" s="276" t="s">
        <v>24</v>
      </c>
      <c r="BB19" s="96">
        <v>25</v>
      </c>
      <c r="BC19" s="313">
        <f>(BB19*BB18/1000)/($F22*$C15)</f>
        <v>2.5632262474367735E-2</v>
      </c>
      <c r="BD19" s="276" t="s">
        <v>23</v>
      </c>
      <c r="BE19" s="62">
        <v>7.0000000000000007E-2</v>
      </c>
      <c r="BF19" s="63">
        <f>+BE19*$C14*$F$9</f>
        <v>4.2</v>
      </c>
      <c r="BG19" s="276" t="s">
        <v>24</v>
      </c>
      <c r="BH19" s="64">
        <v>4</v>
      </c>
      <c r="BI19" s="65">
        <f>BH19/($F22*$C15)</f>
        <v>6.835269993164729E-2</v>
      </c>
    </row>
    <row r="20" spans="1:61" ht="17.25" customHeight="1">
      <c r="A20" s="291"/>
      <c r="B20" s="544" t="s">
        <v>178</v>
      </c>
      <c r="C20" s="445"/>
      <c r="D20" s="445"/>
      <c r="E20" s="446"/>
      <c r="F20" s="319">
        <f>(L14+R14+L19+X14+AD14+AJ14+AP14+AV14+AV19+BB14+BB19*(BB18/1000)+BH14+BH19)/C15</f>
        <v>0.61</v>
      </c>
      <c r="G20" s="320">
        <f>F20/(F20+F21)</f>
        <v>0.5324720670391061</v>
      </c>
      <c r="H20" s="70" t="s">
        <v>27</v>
      </c>
      <c r="I20" s="286">
        <v>7.0000000000000007E-2</v>
      </c>
      <c r="J20" s="287">
        <f>+I20*$E14*$F19</f>
        <v>2.1</v>
      </c>
      <c r="K20" s="70" t="s">
        <v>28</v>
      </c>
      <c r="L20" s="288">
        <v>2</v>
      </c>
      <c r="M20" s="289">
        <f>L20/($F22*$E15)</f>
        <v>6.835269993164729E-2</v>
      </c>
      <c r="N20" s="304">
        <f>VLOOKUP(N13,Friteuse!A:M,8,FALSE())</f>
        <v>0</v>
      </c>
      <c r="O20" s="79"/>
      <c r="P20" s="79"/>
      <c r="Q20" s="79"/>
      <c r="R20" s="530">
        <f>VLOOKUP(N13,Friteuse!A:M,9,FALSE())*P16</f>
        <v>0</v>
      </c>
      <c r="S20" s="475"/>
      <c r="T20" s="302" t="str">
        <f>VLOOKUP(T13,Wok!A:M,8,FALSE())</f>
        <v>Lait coco</v>
      </c>
      <c r="U20" s="77"/>
      <c r="V20" s="77"/>
      <c r="W20" s="77"/>
      <c r="X20" s="530">
        <f>VLOOKUP(T13,Wok!A:M,9,FALSE())*V16</f>
        <v>0.39</v>
      </c>
      <c r="Y20" s="475"/>
      <c r="Z20" s="302" t="str">
        <f>VLOOKUP(Z13,Poele!A:M,8,FALSE())</f>
        <v>Herbes</v>
      </c>
      <c r="AA20" s="77"/>
      <c r="AB20" s="77"/>
      <c r="AC20" s="77"/>
      <c r="AD20" s="530">
        <f>VLOOKUP(Z13,Poele!A:M,9,FALSE())*AB16</f>
        <v>2.6999999999999996E-2</v>
      </c>
      <c r="AE20" s="475"/>
      <c r="AF20" s="302" t="str">
        <f>VLOOKUP(AF13,Four!A:M,8,FALSE())</f>
        <v>Oignons</v>
      </c>
      <c r="AG20" s="77"/>
      <c r="AH20" s="77"/>
      <c r="AI20" s="77"/>
      <c r="AJ20" s="530">
        <f>VLOOKUP(AF13,Four!A:M,9,FALSE())*AH16</f>
        <v>0.45</v>
      </c>
      <c r="AK20" s="475"/>
      <c r="AL20" s="302" t="str">
        <f>VLOOKUP(AL13,Four!A:M,8,FALSE())</f>
        <v>Ail</v>
      </c>
      <c r="AM20" s="77"/>
      <c r="AN20" s="77"/>
      <c r="AO20" s="77"/>
      <c r="AP20" s="530">
        <f>VLOOKUP(AL13,Four!A:M,9,FALSE())*AN16</f>
        <v>0.11699999999999999</v>
      </c>
      <c r="AQ20" s="475"/>
      <c r="AR20" s="70" t="s">
        <v>27</v>
      </c>
      <c r="AS20" s="286">
        <v>0.09</v>
      </c>
      <c r="AT20" s="287">
        <f>+AS20*$E14*$F19</f>
        <v>2.6999999999999997</v>
      </c>
      <c r="AU20" s="70" t="s">
        <v>28</v>
      </c>
      <c r="AV20" s="288">
        <v>2</v>
      </c>
      <c r="AW20" s="289">
        <f>AV20/($F22*$E15)</f>
        <v>6.835269993164729E-2</v>
      </c>
      <c r="AX20" s="80" t="s">
        <v>27</v>
      </c>
      <c r="AY20" s="286">
        <v>0.03</v>
      </c>
      <c r="AZ20" s="321">
        <f>AY20*E14*F19/(BB18/1000)</f>
        <v>14.999999999999998</v>
      </c>
      <c r="BA20" s="70" t="s">
        <v>28</v>
      </c>
      <c r="BB20" s="322">
        <v>13</v>
      </c>
      <c r="BC20" s="315">
        <f>(BB20*BB18/1000)/($F22*$E15)</f>
        <v>2.6657552973342446E-2</v>
      </c>
      <c r="BD20" s="70" t="s">
        <v>27</v>
      </c>
      <c r="BE20" s="286">
        <v>7.0000000000000007E-2</v>
      </c>
      <c r="BF20" s="287">
        <f>+BE20*$E14*$F19</f>
        <v>2.1</v>
      </c>
      <c r="BG20" s="70" t="s">
        <v>28</v>
      </c>
      <c r="BH20" s="288">
        <v>2</v>
      </c>
      <c r="BI20" s="290">
        <f>BH20/($F22*$E15)</f>
        <v>6.835269993164729E-2</v>
      </c>
    </row>
    <row r="21" spans="1:61" ht="17.25" customHeight="1">
      <c r="A21" s="291"/>
      <c r="B21" s="447"/>
      <c r="C21" s="434"/>
      <c r="D21" s="434"/>
      <c r="E21" s="435"/>
      <c r="F21" s="323">
        <f>(L15+L20+R15+X15+AD15+AJ15+AP15+AV15+AV20+BB15+BB20*(BB18/1000)+BH20+BH15)/E15</f>
        <v>0.53560000000000008</v>
      </c>
      <c r="G21" s="324">
        <f>F21/(F20+F21)</f>
        <v>0.46752793296089395</v>
      </c>
      <c r="H21" s="298" t="s">
        <v>31</v>
      </c>
      <c r="I21" s="299">
        <f>+J21/$G14</f>
        <v>4.2000000000000003E-2</v>
      </c>
      <c r="J21" s="74">
        <f>SUM(J19:J20)</f>
        <v>6.3000000000000007</v>
      </c>
      <c r="K21" s="75" t="s">
        <v>31</v>
      </c>
      <c r="L21" s="300">
        <f>SUM(L19:L20)</f>
        <v>6</v>
      </c>
      <c r="M21" s="301">
        <f>L21/($F22*$G15)</f>
        <v>6.8352699931647304E-2</v>
      </c>
      <c r="N21" s="304">
        <f>VLOOKUP(N13,Friteuse!A:M,10,FALSE())</f>
        <v>0</v>
      </c>
      <c r="O21" s="78"/>
      <c r="P21" s="78"/>
      <c r="Q21" s="78"/>
      <c r="R21" s="530">
        <f>VLOOKUP(N13,Friteuse!A:M,11,FALSE())*P16</f>
        <v>0</v>
      </c>
      <c r="S21" s="475"/>
      <c r="T21" s="302" t="str">
        <f>VLOOKUP(T13,Wok!A:M,10,FALSE())</f>
        <v>Crème</v>
      </c>
      <c r="U21" s="81"/>
      <c r="V21" s="81"/>
      <c r="W21" s="81"/>
      <c r="X21" s="530">
        <f>VLOOKUP(T13,Wok!A:M,11,FALSE())*V16</f>
        <v>0.19500000000000001</v>
      </c>
      <c r="Y21" s="475"/>
      <c r="Z21" s="302" t="str">
        <f>VLOOKUP(Z13,Poele!A:M,10,FALSE())</f>
        <v>Beurre</v>
      </c>
      <c r="AA21" s="81"/>
      <c r="AB21" s="81"/>
      <c r="AC21" s="81"/>
      <c r="AD21" s="530">
        <f>VLOOKUP(Z13,Poele!A:M,11,FALSE())*AB16</f>
        <v>0.21599999999999997</v>
      </c>
      <c r="AE21" s="475"/>
      <c r="AF21" s="302" t="str">
        <f>VLOOKUP(AF13,Four!A:M,10,FALSE())</f>
        <v>Crème épaisse</v>
      </c>
      <c r="AG21" s="81"/>
      <c r="AH21" s="81"/>
      <c r="AI21" s="81"/>
      <c r="AJ21" s="530">
        <f>VLOOKUP(AF13,Four!A:M,11,FALSE())*AH16</f>
        <v>0.45</v>
      </c>
      <c r="AK21" s="475"/>
      <c r="AL21" s="302" t="str">
        <f>VLOOKUP(AL13,Four!A:M,10,FALSE())</f>
        <v>Piment frais</v>
      </c>
      <c r="AM21" s="81"/>
      <c r="AN21" s="81"/>
      <c r="AO21" s="81"/>
      <c r="AP21" s="530">
        <f>VLOOKUP(AL13,Four!A:M,11,FALSE())*AN16</f>
        <v>0.11699999999999999</v>
      </c>
      <c r="AQ21" s="475"/>
      <c r="AR21" s="298" t="s">
        <v>31</v>
      </c>
      <c r="AS21" s="299">
        <f>+AT21/$G14</f>
        <v>0.05</v>
      </c>
      <c r="AT21" s="74">
        <f>SUM(AT19:AT20)</f>
        <v>7.5</v>
      </c>
      <c r="AU21" s="75" t="s">
        <v>31</v>
      </c>
      <c r="AV21" s="300">
        <f>SUM(AV19:AV20)</f>
        <v>6</v>
      </c>
      <c r="AW21" s="301">
        <f>AV21/($F22*$G15)</f>
        <v>6.8352699931647304E-2</v>
      </c>
      <c r="AX21" s="308" t="s">
        <v>31</v>
      </c>
      <c r="AY21" s="299"/>
      <c r="AZ21" s="97">
        <f>SUM(AZ19:AZ20)</f>
        <v>44.999999999999993</v>
      </c>
      <c r="BA21" s="75" t="s">
        <v>31</v>
      </c>
      <c r="BB21" s="325">
        <f>SUM(BB19:BB20)</f>
        <v>38</v>
      </c>
      <c r="BC21" s="295">
        <f>(BB21*BB18/1000)/($F22*$G15)</f>
        <v>2.5974025974025972E-2</v>
      </c>
      <c r="BD21" s="298" t="s">
        <v>31</v>
      </c>
      <c r="BE21" s="299">
        <f>+BF21/$G14</f>
        <v>4.2000000000000003E-2</v>
      </c>
      <c r="BF21" s="74">
        <f>SUM(BF19:BF20)</f>
        <v>6.3000000000000007</v>
      </c>
      <c r="BG21" s="75" t="s">
        <v>31</v>
      </c>
      <c r="BH21" s="300">
        <f>SUM(BH19:BH20)</f>
        <v>6</v>
      </c>
      <c r="BI21" s="76">
        <f>BH21/($F22*$G15)</f>
        <v>6.8352699931647304E-2</v>
      </c>
    </row>
    <row r="22" spans="1:61" ht="17.25" customHeight="1">
      <c r="A22" s="291"/>
      <c r="B22" s="545" t="s">
        <v>159</v>
      </c>
      <c r="C22" s="431"/>
      <c r="D22" s="431"/>
      <c r="E22" s="432"/>
      <c r="F22" s="546">
        <f>(L16+L21+R16+X16+AD16+AJ16+AP16+AV16+AV21+BB21*BB18/1000+BB16+BH16+BH21)/G15</f>
        <v>0.58520000000000005</v>
      </c>
      <c r="G22" s="435"/>
      <c r="H22" s="302" t="str">
        <f>VLOOKUP(H18,Plancha2!A:M,2,FALSE())</f>
        <v>Lamelle encornet</v>
      </c>
      <c r="I22" s="82"/>
      <c r="J22" s="78"/>
      <c r="K22" s="78"/>
      <c r="L22" s="529">
        <f>J21</f>
        <v>6.3000000000000007</v>
      </c>
      <c r="M22" s="475"/>
      <c r="N22" s="304">
        <f>VLOOKUP(N13,Friteuse!A:M,12,FALSE())</f>
        <v>0</v>
      </c>
      <c r="O22" s="306"/>
      <c r="P22" s="306"/>
      <c r="Q22" s="306"/>
      <c r="R22" s="542">
        <f>VLOOKUP(N13,Friteuse!A:M,13,FALSE())*P16</f>
        <v>0</v>
      </c>
      <c r="S22" s="435"/>
      <c r="T22" s="302" t="str">
        <f>VLOOKUP(T13,Wok!A:M,12,FALSE())</f>
        <v>Bouillon volaille</v>
      </c>
      <c r="U22" s="309"/>
      <c r="V22" s="309"/>
      <c r="W22" s="309"/>
      <c r="X22" s="542">
        <f>VLOOKUP(T13,Wok!A:M,13,FALSE())*V16</f>
        <v>9.7500000000000003E-2</v>
      </c>
      <c r="Y22" s="435"/>
      <c r="Z22" s="302">
        <f>VLOOKUP(Z13,Poele!A:M,12,FALSE())</f>
        <v>0</v>
      </c>
      <c r="AA22" s="309"/>
      <c r="AB22" s="309"/>
      <c r="AC22" s="309"/>
      <c r="AD22" s="542">
        <f>VLOOKUP(Z13,Poele!A:M,13,FALSE())*AB16</f>
        <v>0</v>
      </c>
      <c r="AE22" s="435"/>
      <c r="AF22" s="302" t="str">
        <f>VLOOKUP(AF13,Four!A:M,12,FALSE())</f>
        <v>Vin blc</v>
      </c>
      <c r="AG22" s="309"/>
      <c r="AH22" s="309"/>
      <c r="AI22" s="309"/>
      <c r="AJ22" s="542">
        <f>VLOOKUP(AF13,Four!A:M,13,FALSE())*AH16</f>
        <v>0.27</v>
      </c>
      <c r="AK22" s="435"/>
      <c r="AL22" s="302" t="str">
        <f>VLOOKUP(AL13,Four!A:M,12,FALSE())</f>
        <v>Gingembre</v>
      </c>
      <c r="AM22" s="309"/>
      <c r="AN22" s="309"/>
      <c r="AO22" s="309"/>
      <c r="AP22" s="542">
        <f>VLOOKUP(AL13,Four!A:M,13,FALSE())*AN16</f>
        <v>7.8E-2</v>
      </c>
      <c r="AQ22" s="435"/>
      <c r="AR22" s="310" t="s">
        <v>74</v>
      </c>
      <c r="AS22" s="82"/>
      <c r="AT22" s="78"/>
      <c r="AU22" s="78"/>
      <c r="AV22" s="529">
        <f>AT21</f>
        <v>7.5</v>
      </c>
      <c r="AW22" s="475"/>
      <c r="AX22" s="538" t="s">
        <v>75</v>
      </c>
      <c r="AY22" s="461"/>
      <c r="AZ22" s="461"/>
      <c r="BA22" s="311"/>
      <c r="BB22" s="529">
        <f>AZ21*(BB18/1000)</f>
        <v>2.6999999999999993</v>
      </c>
      <c r="BC22" s="475"/>
      <c r="BD22" s="543" t="s">
        <v>115</v>
      </c>
      <c r="BE22" s="461"/>
      <c r="BF22" s="461"/>
      <c r="BG22" s="311"/>
      <c r="BH22" s="529">
        <f>BF21</f>
        <v>6.3000000000000007</v>
      </c>
      <c r="BI22" s="503"/>
    </row>
    <row r="23" spans="1:61" ht="17.25" customHeight="1">
      <c r="A23" s="55">
        <f>A13+1</f>
        <v>45336</v>
      </c>
      <c r="B23" s="547" t="s">
        <v>8</v>
      </c>
      <c r="C23" s="432"/>
      <c r="D23" s="547" t="s">
        <v>9</v>
      </c>
      <c r="E23" s="432"/>
      <c r="F23" s="317" t="s">
        <v>10</v>
      </c>
      <c r="G23" s="318"/>
      <c r="H23" s="551" t="s">
        <v>149</v>
      </c>
      <c r="I23" s="552"/>
      <c r="J23" s="552"/>
      <c r="K23" s="552"/>
      <c r="L23" s="552"/>
      <c r="M23" s="553"/>
      <c r="N23" s="522" t="s">
        <v>197</v>
      </c>
      <c r="O23" s="431" t="s">
        <v>197</v>
      </c>
      <c r="P23" s="431" t="s">
        <v>197</v>
      </c>
      <c r="Q23" s="431" t="s">
        <v>197</v>
      </c>
      <c r="R23" s="431" t="s">
        <v>197</v>
      </c>
      <c r="S23" s="432" t="s">
        <v>197</v>
      </c>
      <c r="T23" s="523" t="s">
        <v>252</v>
      </c>
      <c r="U23" s="431" t="s">
        <v>252</v>
      </c>
      <c r="V23" s="431" t="s">
        <v>252</v>
      </c>
      <c r="W23" s="431" t="s">
        <v>252</v>
      </c>
      <c r="X23" s="431" t="s">
        <v>252</v>
      </c>
      <c r="Y23" s="432" t="s">
        <v>252</v>
      </c>
      <c r="Z23" s="523" t="s">
        <v>199</v>
      </c>
      <c r="AA23" s="431" t="s">
        <v>199</v>
      </c>
      <c r="AB23" s="431" t="s">
        <v>199</v>
      </c>
      <c r="AC23" s="431" t="s">
        <v>199</v>
      </c>
      <c r="AD23" s="431" t="s">
        <v>199</v>
      </c>
      <c r="AE23" s="432" t="s">
        <v>199</v>
      </c>
      <c r="AF23" s="519" t="s">
        <v>208</v>
      </c>
      <c r="AG23" s="431" t="s">
        <v>208</v>
      </c>
      <c r="AH23" s="431" t="s">
        <v>208</v>
      </c>
      <c r="AI23" s="431" t="s">
        <v>208</v>
      </c>
      <c r="AJ23" s="431" t="s">
        <v>208</v>
      </c>
      <c r="AK23" s="432" t="s">
        <v>208</v>
      </c>
      <c r="AL23" s="557" t="s">
        <v>297</v>
      </c>
      <c r="AM23" s="558" t="s">
        <v>297</v>
      </c>
      <c r="AN23" s="558" t="s">
        <v>297</v>
      </c>
      <c r="AO23" s="558" t="s">
        <v>297</v>
      </c>
      <c r="AP23" s="558" t="s">
        <v>297</v>
      </c>
      <c r="AQ23" s="559" t="s">
        <v>297</v>
      </c>
      <c r="AR23" s="481" t="s">
        <v>18</v>
      </c>
      <c r="AS23" s="431"/>
      <c r="AT23" s="431"/>
      <c r="AU23" s="431"/>
      <c r="AV23" s="431"/>
      <c r="AW23" s="432"/>
      <c r="AX23" s="482" t="s">
        <v>154</v>
      </c>
      <c r="AY23" s="434"/>
      <c r="AZ23" s="434"/>
      <c r="BA23" s="434"/>
      <c r="BB23" s="434"/>
      <c r="BC23" s="435"/>
      <c r="BD23" s="483" t="s">
        <v>155</v>
      </c>
      <c r="BE23" s="431"/>
      <c r="BF23" s="431"/>
      <c r="BG23" s="431"/>
      <c r="BH23" s="431"/>
      <c r="BI23" s="484"/>
    </row>
    <row r="24" spans="1:61" ht="17.25" customHeight="1">
      <c r="A24" s="269"/>
      <c r="B24" s="270" t="s">
        <v>22</v>
      </c>
      <c r="C24" s="271">
        <v>100</v>
      </c>
      <c r="D24" s="270" t="s">
        <v>22</v>
      </c>
      <c r="E24" s="272">
        <v>50</v>
      </c>
      <c r="F24" s="270" t="s">
        <v>22</v>
      </c>
      <c r="G24" s="56">
        <f t="shared" ref="G24:G25" si="2">+C24+E24</f>
        <v>150</v>
      </c>
      <c r="H24" s="276" t="s">
        <v>23</v>
      </c>
      <c r="I24" s="62">
        <v>0.05</v>
      </c>
      <c r="J24" s="63">
        <f>+I24*$C24*$F29</f>
        <v>3</v>
      </c>
      <c r="K24" s="276" t="s">
        <v>24</v>
      </c>
      <c r="L24" s="64">
        <v>3</v>
      </c>
      <c r="M24" s="277">
        <f>L24/($F32*$C25)</f>
        <v>5.1264524948735471E-2</v>
      </c>
      <c r="N24" s="273" t="s">
        <v>23</v>
      </c>
      <c r="O24" s="57">
        <v>0.01</v>
      </c>
      <c r="P24" s="58">
        <f>+O24*$C24*$F29</f>
        <v>0.6</v>
      </c>
      <c r="Q24" s="273" t="s">
        <v>24</v>
      </c>
      <c r="R24" s="84">
        <v>0.5</v>
      </c>
      <c r="S24" s="313">
        <f>R24/($F32*$C25)</f>
        <v>8.5440874914559112E-3</v>
      </c>
      <c r="T24" s="274" t="s">
        <v>23</v>
      </c>
      <c r="U24" s="60">
        <v>0.05</v>
      </c>
      <c r="V24" s="61">
        <f>+U24*$C24*$F29</f>
        <v>3</v>
      </c>
      <c r="W24" s="274" t="s">
        <v>24</v>
      </c>
      <c r="X24" s="59">
        <v>3</v>
      </c>
      <c r="Y24" s="275">
        <f>X24/($F32*$C25)</f>
        <v>5.1264524948735471E-2</v>
      </c>
      <c r="Z24" s="274" t="s">
        <v>23</v>
      </c>
      <c r="AA24" s="60">
        <v>0.03</v>
      </c>
      <c r="AB24" s="61">
        <f>+AA24*$C24*$F29</f>
        <v>1.7999999999999998</v>
      </c>
      <c r="AC24" s="274" t="s">
        <v>24</v>
      </c>
      <c r="AD24" s="59">
        <v>2</v>
      </c>
      <c r="AE24" s="275">
        <f>AD24/($F32*$C25)</f>
        <v>3.4176349965823645E-2</v>
      </c>
      <c r="AF24" s="274" t="s">
        <v>23</v>
      </c>
      <c r="AG24" s="60">
        <v>0.1</v>
      </c>
      <c r="AH24" s="61">
        <f>+AG24*$C24*$F29</f>
        <v>6</v>
      </c>
      <c r="AI24" s="274" t="s">
        <v>24</v>
      </c>
      <c r="AJ24" s="59">
        <v>6</v>
      </c>
      <c r="AK24" s="275">
        <f>AJ24/($F32*$C25)</f>
        <v>0.10252904989747094</v>
      </c>
      <c r="AL24" s="274" t="s">
        <v>23</v>
      </c>
      <c r="AM24" s="60">
        <v>0.05</v>
      </c>
      <c r="AN24" s="61">
        <f>+AM24*$C24*$F29</f>
        <v>3</v>
      </c>
      <c r="AO24" s="274" t="s">
        <v>24</v>
      </c>
      <c r="AP24" s="59">
        <v>3</v>
      </c>
      <c r="AQ24" s="275">
        <f>AP24/($F32*$C25)</f>
        <v>5.1264524948735471E-2</v>
      </c>
      <c r="AR24" s="276" t="s">
        <v>23</v>
      </c>
      <c r="AS24" s="62">
        <v>0.08</v>
      </c>
      <c r="AT24" s="63">
        <f>+AS24*$C24*$F29</f>
        <v>4.8</v>
      </c>
      <c r="AU24" s="276" t="s">
        <v>24</v>
      </c>
      <c r="AV24" s="64">
        <v>4</v>
      </c>
      <c r="AW24" s="277">
        <f>AV24/($F32*$C25)</f>
        <v>6.835269993164729E-2</v>
      </c>
      <c r="AX24" s="276" t="s">
        <v>23</v>
      </c>
      <c r="AY24" s="62">
        <v>0.43</v>
      </c>
      <c r="AZ24" s="63">
        <f>+AY24*$C24*$F29</f>
        <v>25.8</v>
      </c>
      <c r="BA24" s="276" t="s">
        <v>24</v>
      </c>
      <c r="BB24" s="64">
        <v>25</v>
      </c>
      <c r="BC24" s="277">
        <f>BB24/($F32*$C25)</f>
        <v>0.42720437457279559</v>
      </c>
      <c r="BD24" s="276" t="s">
        <v>23</v>
      </c>
      <c r="BE24" s="62">
        <v>0.02</v>
      </c>
      <c r="BF24" s="63">
        <f>+BE24*$C24*$F29</f>
        <v>1.2</v>
      </c>
      <c r="BG24" s="276" t="s">
        <v>24</v>
      </c>
      <c r="BH24" s="64">
        <v>1</v>
      </c>
      <c r="BI24" s="65">
        <f>BH24/($F32*$C25)</f>
        <v>1.7088174982911822E-2</v>
      </c>
    </row>
    <row r="25" spans="1:61" ht="17.25" customHeight="1">
      <c r="A25" s="278" t="s">
        <v>79</v>
      </c>
      <c r="B25" s="266" t="s">
        <v>26</v>
      </c>
      <c r="C25" s="66">
        <v>100</v>
      </c>
      <c r="D25" s="266" t="s">
        <v>26</v>
      </c>
      <c r="E25" s="67">
        <v>50</v>
      </c>
      <c r="F25" s="266" t="s">
        <v>26</v>
      </c>
      <c r="G25" s="279">
        <f t="shared" si="2"/>
        <v>150</v>
      </c>
      <c r="H25" s="70" t="s">
        <v>27</v>
      </c>
      <c r="I25" s="286">
        <v>0.03</v>
      </c>
      <c r="J25" s="287">
        <f>+I25*$E24*$F29</f>
        <v>0.89999999999999991</v>
      </c>
      <c r="K25" s="70" t="s">
        <v>28</v>
      </c>
      <c r="L25" s="288">
        <v>1</v>
      </c>
      <c r="M25" s="289">
        <f>L25/($F32*$E25)</f>
        <v>3.4176349965823645E-2</v>
      </c>
      <c r="N25" s="68" t="s">
        <v>27</v>
      </c>
      <c r="O25" s="280">
        <v>0.02</v>
      </c>
      <c r="P25" s="281">
        <f>+O25*$E24*$F29</f>
        <v>0.6</v>
      </c>
      <c r="Q25" s="68" t="s">
        <v>28</v>
      </c>
      <c r="R25" s="314">
        <v>0.5</v>
      </c>
      <c r="S25" s="315">
        <f>R25/($F32*$E25)</f>
        <v>1.7088174982911822E-2</v>
      </c>
      <c r="T25" s="69" t="s">
        <v>27</v>
      </c>
      <c r="U25" s="284">
        <v>0.03</v>
      </c>
      <c r="V25" s="285">
        <f>+U25*$E24*$F29</f>
        <v>0.89999999999999991</v>
      </c>
      <c r="W25" s="69" t="s">
        <v>28</v>
      </c>
      <c r="X25" s="282">
        <v>1</v>
      </c>
      <c r="Y25" s="283">
        <f>X25/($F32*$E25)</f>
        <v>3.4176349965823645E-2</v>
      </c>
      <c r="Z25" s="69" t="s">
        <v>27</v>
      </c>
      <c r="AA25" s="284">
        <v>0.03</v>
      </c>
      <c r="AB25" s="285">
        <f>+AA25*$E24*$F29</f>
        <v>0.89999999999999991</v>
      </c>
      <c r="AC25" s="69" t="s">
        <v>28</v>
      </c>
      <c r="AD25" s="282">
        <v>1</v>
      </c>
      <c r="AE25" s="283">
        <f>AD25/($F32*$E25)</f>
        <v>3.4176349965823645E-2</v>
      </c>
      <c r="AF25" s="69" t="s">
        <v>27</v>
      </c>
      <c r="AG25" s="284">
        <v>0.1</v>
      </c>
      <c r="AH25" s="285">
        <f>+AG25*$E24*$F29</f>
        <v>3</v>
      </c>
      <c r="AI25" s="69" t="s">
        <v>28</v>
      </c>
      <c r="AJ25" s="282">
        <v>3</v>
      </c>
      <c r="AK25" s="283">
        <f>AJ25/($F32*$E25)</f>
        <v>0.10252904989747094</v>
      </c>
      <c r="AL25" s="69" t="s">
        <v>27</v>
      </c>
      <c r="AM25" s="284">
        <v>0.03</v>
      </c>
      <c r="AN25" s="285">
        <f>+AM25*$E24*$F29</f>
        <v>0.89999999999999991</v>
      </c>
      <c r="AO25" s="69" t="s">
        <v>28</v>
      </c>
      <c r="AP25" s="282">
        <v>1</v>
      </c>
      <c r="AQ25" s="283">
        <f>AP25/($F32*$E25)</f>
        <v>3.4176349965823645E-2</v>
      </c>
      <c r="AR25" s="70" t="s">
        <v>27</v>
      </c>
      <c r="AS25" s="286">
        <v>0.09</v>
      </c>
      <c r="AT25" s="287">
        <f>+AS25*$E24*$F29</f>
        <v>2.6999999999999997</v>
      </c>
      <c r="AU25" s="70" t="s">
        <v>28</v>
      </c>
      <c r="AV25" s="288">
        <v>2</v>
      </c>
      <c r="AW25" s="289">
        <f>AV25/($F32*$E25)</f>
        <v>6.835269993164729E-2</v>
      </c>
      <c r="AX25" s="70" t="s">
        <v>27</v>
      </c>
      <c r="AY25" s="286">
        <v>0.34</v>
      </c>
      <c r="AZ25" s="287">
        <f>+AY25*$E24*$F29</f>
        <v>10.199999999999999</v>
      </c>
      <c r="BA25" s="70" t="s">
        <v>28</v>
      </c>
      <c r="BB25" s="288">
        <v>10</v>
      </c>
      <c r="BC25" s="289">
        <f>BB25/($F32*$E25)</f>
        <v>0.34176349965823649</v>
      </c>
      <c r="BD25" s="70" t="s">
        <v>27</v>
      </c>
      <c r="BE25" s="286">
        <v>0.02</v>
      </c>
      <c r="BF25" s="287">
        <f>+BE25*$E24*$F29</f>
        <v>0.6</v>
      </c>
      <c r="BG25" s="70" t="s">
        <v>28</v>
      </c>
      <c r="BH25" s="288">
        <v>0.5</v>
      </c>
      <c r="BI25" s="290">
        <f>BH25/($F32*$E25)</f>
        <v>1.7088174982911822E-2</v>
      </c>
    </row>
    <row r="26" spans="1:61" ht="17.25" customHeight="1">
      <c r="A26" s="291" t="s">
        <v>94</v>
      </c>
      <c r="B26" s="532" t="s">
        <v>30</v>
      </c>
      <c r="C26" s="454"/>
      <c r="D26" s="455"/>
      <c r="E26" s="533">
        <f>(I24+O24+U24+AA24+AG24+AM24+AS24+AY24+BE24+BE29+AY29+AS29+I29)/2</f>
        <v>0.53500000000000014</v>
      </c>
      <c r="F26" s="457"/>
      <c r="G26" s="534">
        <f>(E26+E27)</f>
        <v>1.0100000000000002</v>
      </c>
      <c r="H26" s="298" t="s">
        <v>31</v>
      </c>
      <c r="I26" s="299">
        <f>+J26/$G24</f>
        <v>2.5999999999999999E-2</v>
      </c>
      <c r="J26" s="74">
        <f>SUM(J24:J25)</f>
        <v>3.9</v>
      </c>
      <c r="K26" s="75" t="s">
        <v>31</v>
      </c>
      <c r="L26" s="300">
        <f>SUM(L24:L25)</f>
        <v>4</v>
      </c>
      <c r="M26" s="301">
        <f>L26/($F32*$G25)</f>
        <v>4.5568466621098203E-2</v>
      </c>
      <c r="N26" s="292" t="s">
        <v>31</v>
      </c>
      <c r="O26" s="293">
        <f>+P26/$G24</f>
        <v>8.0000000000000002E-3</v>
      </c>
      <c r="P26" s="71">
        <f>SUM(P24:P25)</f>
        <v>1.2</v>
      </c>
      <c r="Q26" s="85" t="s">
        <v>31</v>
      </c>
      <c r="R26" s="316">
        <f>SUM(R24:R25)</f>
        <v>1</v>
      </c>
      <c r="S26" s="295">
        <f>R26/($F32*$G25)</f>
        <v>1.1392116655274551E-2</v>
      </c>
      <c r="T26" s="296" t="s">
        <v>31</v>
      </c>
      <c r="U26" s="297">
        <f>+V26/$G24</f>
        <v>2.5999999999999999E-2</v>
      </c>
      <c r="V26" s="73">
        <f>SUM(V24:V25)</f>
        <v>3.9</v>
      </c>
      <c r="W26" s="72" t="s">
        <v>31</v>
      </c>
      <c r="X26" s="294">
        <f>SUM(X24:X25)</f>
        <v>4</v>
      </c>
      <c r="Y26" s="295">
        <f>X26/($F32*$G25)</f>
        <v>4.5568466621098203E-2</v>
      </c>
      <c r="Z26" s="296" t="s">
        <v>31</v>
      </c>
      <c r="AA26" s="297">
        <f>+AB26/$G24</f>
        <v>1.7999999999999999E-2</v>
      </c>
      <c r="AB26" s="73">
        <f>SUM(AB24:AB25)</f>
        <v>2.6999999999999997</v>
      </c>
      <c r="AC26" s="72" t="s">
        <v>31</v>
      </c>
      <c r="AD26" s="294">
        <f>SUM(AD24:AD25)</f>
        <v>3</v>
      </c>
      <c r="AE26" s="295">
        <f>AD26/($F32*$G25)</f>
        <v>3.4176349965823652E-2</v>
      </c>
      <c r="AF26" s="296" t="s">
        <v>31</v>
      </c>
      <c r="AG26" s="297">
        <f>+AH26/$G24</f>
        <v>0.06</v>
      </c>
      <c r="AH26" s="73">
        <f>SUM(AH24:AH25)</f>
        <v>9</v>
      </c>
      <c r="AI26" s="72" t="s">
        <v>31</v>
      </c>
      <c r="AJ26" s="294">
        <f>SUM(AJ24:AJ25)</f>
        <v>9</v>
      </c>
      <c r="AK26" s="295">
        <f>AJ26/($F32*$G25)</f>
        <v>0.10252904989747094</v>
      </c>
      <c r="AL26" s="296" t="s">
        <v>31</v>
      </c>
      <c r="AM26" s="297">
        <f>+AN26/$G24</f>
        <v>2.5999999999999999E-2</v>
      </c>
      <c r="AN26" s="73">
        <f>SUM(AN24:AN25)</f>
        <v>3.9</v>
      </c>
      <c r="AO26" s="72" t="s">
        <v>31</v>
      </c>
      <c r="AP26" s="294">
        <f>SUM(AP24:AP25)</f>
        <v>4</v>
      </c>
      <c r="AQ26" s="295">
        <f>AP26/($F32*$G25)</f>
        <v>4.5568466621098203E-2</v>
      </c>
      <c r="AR26" s="298" t="s">
        <v>31</v>
      </c>
      <c r="AS26" s="299">
        <f>+AT26/$G24</f>
        <v>0.05</v>
      </c>
      <c r="AT26" s="74">
        <f>SUM(AT24:AT25)</f>
        <v>7.5</v>
      </c>
      <c r="AU26" s="75" t="s">
        <v>31</v>
      </c>
      <c r="AV26" s="300">
        <f>SUM(AV24:AV25)</f>
        <v>6</v>
      </c>
      <c r="AW26" s="301">
        <f>AV26/($F32*$G25)</f>
        <v>6.8352699931647304E-2</v>
      </c>
      <c r="AX26" s="298" t="s">
        <v>31</v>
      </c>
      <c r="AY26" s="299">
        <f>+AZ26/$G24</f>
        <v>0.24</v>
      </c>
      <c r="AZ26" s="74">
        <f>SUM(AZ24:AZ25)</f>
        <v>36</v>
      </c>
      <c r="BA26" s="75" t="s">
        <v>31</v>
      </c>
      <c r="BB26" s="300">
        <f>SUM(BB24:BB25)</f>
        <v>35</v>
      </c>
      <c r="BC26" s="301">
        <f>BB26/($F32*$G25)</f>
        <v>0.39872408293460926</v>
      </c>
      <c r="BD26" s="298" t="s">
        <v>31</v>
      </c>
      <c r="BE26" s="299">
        <f>+BF26/$G24</f>
        <v>1.1999999999999999E-2</v>
      </c>
      <c r="BF26" s="74">
        <f>SUM(BF24:BF25)</f>
        <v>1.7999999999999998</v>
      </c>
      <c r="BG26" s="75" t="s">
        <v>31</v>
      </c>
      <c r="BH26" s="300">
        <f>SUM(BH24:BH25)</f>
        <v>1.5</v>
      </c>
      <c r="BI26" s="76">
        <f>BH26/($F32*$G25)</f>
        <v>1.7088174982911826E-2</v>
      </c>
    </row>
    <row r="27" spans="1:61" ht="17.25" customHeight="1">
      <c r="A27" s="291" t="s">
        <v>81</v>
      </c>
      <c r="B27" s="535" t="s">
        <v>34</v>
      </c>
      <c r="C27" s="461"/>
      <c r="D27" s="462"/>
      <c r="E27" s="536">
        <f>(I25+O25+U25+AA25+AG25+AM25+AS25+AY25+BE25+AS30+AY30+BE30+I30)/2</f>
        <v>0.47500000000000009</v>
      </c>
      <c r="F27" s="464"/>
      <c r="G27" s="459"/>
      <c r="H27" s="537" t="str">
        <f>VLOOKUP(H23,Plancha2!A:M,2,FALSE())</f>
        <v>Poisson</v>
      </c>
      <c r="I27" s="474"/>
      <c r="J27" s="474"/>
      <c r="K27" s="306"/>
      <c r="L27" s="529">
        <f>J26</f>
        <v>3.9</v>
      </c>
      <c r="M27" s="475"/>
      <c r="N27" s="304" t="str">
        <f>VLOOKUP(N23,Friteuse!A:M,2,FALSE())</f>
        <v>Aiguilette</v>
      </c>
      <c r="O27" s="305"/>
      <c r="P27" s="305"/>
      <c r="Q27" s="77"/>
      <c r="R27" s="529">
        <f>VLOOKUP(N23,Friteuse!A:M,3,FALSE())*P26</f>
        <v>1.032</v>
      </c>
      <c r="S27" s="475"/>
      <c r="T27" s="302" t="str">
        <f>VLOOKUP(T23,Wok!A:M,2,FALSE())</f>
        <v xml:space="preserve">haricots vert </v>
      </c>
      <c r="U27" s="303"/>
      <c r="V27" s="303"/>
      <c r="W27" s="77"/>
      <c r="X27" s="529" t="e">
        <f>VLOOKUP(T23,Wok!A:M,3,FALSE())*V26</f>
        <v>#VALUE!</v>
      </c>
      <c r="Y27" s="475"/>
      <c r="Z27" s="302" t="str">
        <f>VLOOKUP(Z23,Poele!A:M,2,FALSE())</f>
        <v>Lieu</v>
      </c>
      <c r="AA27" s="303"/>
      <c r="AB27" s="303"/>
      <c r="AC27" s="77"/>
      <c r="AD27" s="529">
        <f>VLOOKUP(Z23,Poele!A:M,3,FALSE())*AB26</f>
        <v>1.1069999999999998</v>
      </c>
      <c r="AE27" s="475"/>
      <c r="AF27" s="302" t="str">
        <f>VLOOKUP(AF23,Four!A:M,2,FALSE())</f>
        <v>PDT</v>
      </c>
      <c r="AG27" s="303"/>
      <c r="AH27" s="303"/>
      <c r="AI27" s="77"/>
      <c r="AJ27" s="529">
        <f>VLOOKUP(AF23,Four!A:M,3,FALSE())*AH26</f>
        <v>4.5</v>
      </c>
      <c r="AK27" s="475"/>
      <c r="AL27" s="302" t="str">
        <f>VLOOKUP(AL23,Four!A:M,2,FALSE())</f>
        <v>Endives</v>
      </c>
      <c r="AM27" s="303"/>
      <c r="AN27" s="303"/>
      <c r="AO27" s="77"/>
      <c r="AP27" s="529">
        <f>VLOOKUP(AL23,Four!A:M,3,FALSE())*AN26</f>
        <v>2.5739999999999998</v>
      </c>
      <c r="AQ27" s="475"/>
      <c r="AR27" s="538" t="s">
        <v>42</v>
      </c>
      <c r="AS27" s="461"/>
      <c r="AT27" s="461"/>
      <c r="AU27" s="306"/>
      <c r="AV27" s="529">
        <f>AT26</f>
        <v>7.5</v>
      </c>
      <c r="AW27" s="475"/>
      <c r="AX27" s="528" t="s">
        <v>156</v>
      </c>
      <c r="AY27" s="471"/>
      <c r="AZ27" s="471"/>
      <c r="BA27" s="78"/>
      <c r="BB27" s="529">
        <f>AZ26</f>
        <v>36</v>
      </c>
      <c r="BC27" s="475"/>
      <c r="BD27" s="528" t="s">
        <v>157</v>
      </c>
      <c r="BE27" s="471"/>
      <c r="BF27" s="471"/>
      <c r="BG27" s="78"/>
      <c r="BH27" s="529">
        <f>BF26</f>
        <v>1.7999999999999998</v>
      </c>
      <c r="BI27" s="503"/>
    </row>
    <row r="28" spans="1:61" ht="17.25" customHeight="1">
      <c r="A28" s="291" t="s">
        <v>95</v>
      </c>
      <c r="B28" s="539" t="s">
        <v>46</v>
      </c>
      <c r="C28" s="445"/>
      <c r="D28" s="517"/>
      <c r="E28" s="540">
        <f>(L26+R26+X26+AD26+AJ26+AP26+AV26+BB26+BH26+BH31+(BB31*BB28/1000)+L31+AV31)/(G25*F32)</f>
        <v>1</v>
      </c>
      <c r="F28" s="474"/>
      <c r="G28" s="475"/>
      <c r="H28" s="551" t="s">
        <v>223</v>
      </c>
      <c r="I28" s="552" t="s">
        <v>223</v>
      </c>
      <c r="J28" s="552" t="s">
        <v>223</v>
      </c>
      <c r="K28" s="552" t="s">
        <v>223</v>
      </c>
      <c r="L28" s="552" t="s">
        <v>223</v>
      </c>
      <c r="M28" s="553" t="s">
        <v>223</v>
      </c>
      <c r="N28" s="304" t="str">
        <f>VLOOKUP(N23,Friteuse!A:M,4,FALSE())</f>
        <v>Creme</v>
      </c>
      <c r="O28" s="79"/>
      <c r="P28" s="79"/>
      <c r="Q28" s="79"/>
      <c r="R28" s="530">
        <f>VLOOKUP(N23,Friteuse!A:M,5,FALSE())*P26</f>
        <v>1.2E-2</v>
      </c>
      <c r="S28" s="475"/>
      <c r="T28" s="302">
        <f>VLOOKUP(T23,Wok!A:M,4,FALSE())</f>
        <v>0</v>
      </c>
      <c r="U28" s="77"/>
      <c r="V28" s="77"/>
      <c r="W28" s="77"/>
      <c r="X28" s="530">
        <f>VLOOKUP(T23,Wok!A:M,5,FALSE())*V26</f>
        <v>0</v>
      </c>
      <c r="Y28" s="475"/>
      <c r="Z28" s="302" t="str">
        <f>VLOOKUP(Z23,Poele!A:M,4,FALSE())</f>
        <v>Poireaux</v>
      </c>
      <c r="AA28" s="77"/>
      <c r="AB28" s="77"/>
      <c r="AC28" s="77"/>
      <c r="AD28" s="530">
        <f>VLOOKUP(Z23,Poele!A:M,5,FALSE())*AB26</f>
        <v>0.56699999999999995</v>
      </c>
      <c r="AE28" s="475"/>
      <c r="AF28" s="302" t="str">
        <f>VLOOKUP(AF23,Four!A:M,4,FALSE())</f>
        <v>Reblochon</v>
      </c>
      <c r="AG28" s="77"/>
      <c r="AH28" s="77"/>
      <c r="AI28" s="77"/>
      <c r="AJ28" s="530">
        <f>VLOOKUP(AF23,Four!A:M,5,FALSE())*AH26</f>
        <v>2.4300000000000002</v>
      </c>
      <c r="AK28" s="475"/>
      <c r="AL28" s="302" t="str">
        <f>VLOOKUP(AL23,Four!A:M,4,FALSE())</f>
        <v>Emmental</v>
      </c>
      <c r="AM28" s="77"/>
      <c r="AN28" s="77"/>
      <c r="AO28" s="77"/>
      <c r="AP28" s="530">
        <f>VLOOKUP(AL23,Four!A:M,5,FALSE())*AN26</f>
        <v>0.27300000000000002</v>
      </c>
      <c r="AQ28" s="475"/>
      <c r="AR28" s="481" t="s">
        <v>54</v>
      </c>
      <c r="AS28" s="431"/>
      <c r="AT28" s="431"/>
      <c r="AU28" s="431"/>
      <c r="AV28" s="431"/>
      <c r="AW28" s="432"/>
      <c r="AX28" s="481" t="s">
        <v>55</v>
      </c>
      <c r="AY28" s="431"/>
      <c r="AZ28" s="431"/>
      <c r="BA28" s="431"/>
      <c r="BB28" s="531">
        <v>60</v>
      </c>
      <c r="BC28" s="432"/>
      <c r="BD28" s="483" t="s">
        <v>163</v>
      </c>
      <c r="BE28" s="431"/>
      <c r="BF28" s="431"/>
      <c r="BG28" s="431"/>
      <c r="BH28" s="431"/>
      <c r="BI28" s="484"/>
    </row>
    <row r="29" spans="1:61" ht="17.25" customHeight="1">
      <c r="A29" s="291" t="s">
        <v>81</v>
      </c>
      <c r="B29" s="513" t="s">
        <v>158</v>
      </c>
      <c r="C29" s="445"/>
      <c r="D29" s="445"/>
      <c r="E29" s="445"/>
      <c r="F29" s="541">
        <v>0.6</v>
      </c>
      <c r="G29" s="446"/>
      <c r="H29" s="276" t="s">
        <v>23</v>
      </c>
      <c r="I29" s="62">
        <v>7.0000000000000007E-2</v>
      </c>
      <c r="J29" s="63">
        <f>+I29*$C24*$F$9</f>
        <v>4.2</v>
      </c>
      <c r="K29" s="276" t="s">
        <v>24</v>
      </c>
      <c r="L29" s="64">
        <v>4</v>
      </c>
      <c r="M29" s="277">
        <f>L29/($F32*$C25)</f>
        <v>6.835269993164729E-2</v>
      </c>
      <c r="N29" s="304" t="str">
        <f>VLOOKUP(N23,Friteuse!A:M,6,FALSE())</f>
        <v>Tandoori</v>
      </c>
      <c r="O29" s="79"/>
      <c r="P29" s="79"/>
      <c r="Q29" s="79"/>
      <c r="R29" s="530">
        <f>VLOOKUP(N23,Friteuse!A:M,7,FALSE())*P26</f>
        <v>1.7999999999999999E-2</v>
      </c>
      <c r="S29" s="475"/>
      <c r="T29" s="302">
        <f>VLOOKUP(T23,Wok!A:M,6,FALSE())</f>
        <v>0</v>
      </c>
      <c r="U29" s="77"/>
      <c r="V29" s="77"/>
      <c r="W29" s="77"/>
      <c r="X29" s="530">
        <f>VLOOKUP(T23,Wok!A:M,7,FALSE())*V26</f>
        <v>0</v>
      </c>
      <c r="Y29" s="475"/>
      <c r="Z29" s="302" t="str">
        <f>VLOOKUP(Z23,Poele!A:M,6,FALSE())</f>
        <v xml:space="preserve">Tomate </v>
      </c>
      <c r="AA29" s="77"/>
      <c r="AB29" s="77"/>
      <c r="AC29" s="77"/>
      <c r="AD29" s="530">
        <f>VLOOKUP(Z23,Poele!A:M,7,FALSE())*AB26</f>
        <v>0.56699999999999995</v>
      </c>
      <c r="AE29" s="475"/>
      <c r="AF29" s="302" t="str">
        <f>VLOOKUP(AF23,Four!A:M,6,FALSE())</f>
        <v>Lardons fumés</v>
      </c>
      <c r="AG29" s="77"/>
      <c r="AH29" s="77"/>
      <c r="AI29" s="77"/>
      <c r="AJ29" s="530">
        <f>VLOOKUP(AF23,Four!A:M,7,FALSE())*AH26</f>
        <v>0.9</v>
      </c>
      <c r="AK29" s="475"/>
      <c r="AL29" s="302" t="str">
        <f>VLOOKUP(AL23,Four!A:M,6,FALSE())</f>
        <v>Jambon sec</v>
      </c>
      <c r="AM29" s="77"/>
      <c r="AN29" s="77"/>
      <c r="AO29" s="77"/>
      <c r="AP29" s="530">
        <f>VLOOKUP(AL23,Four!A:M,7,FALSE())*AN26</f>
        <v>1.014</v>
      </c>
      <c r="AQ29" s="475"/>
      <c r="AR29" s="276" t="s">
        <v>23</v>
      </c>
      <c r="AS29" s="62">
        <v>0.08</v>
      </c>
      <c r="AT29" s="63">
        <f>+AS29*$C24*$F$9</f>
        <v>4.8</v>
      </c>
      <c r="AU29" s="276" t="s">
        <v>24</v>
      </c>
      <c r="AV29" s="64">
        <v>4</v>
      </c>
      <c r="AW29" s="277">
        <f>AV29/($F32*$C25)</f>
        <v>6.835269993164729E-2</v>
      </c>
      <c r="AX29" s="307" t="s">
        <v>23</v>
      </c>
      <c r="AY29" s="62">
        <v>0.03</v>
      </c>
      <c r="AZ29" s="95">
        <f>AY29*C24*F29/(BB28/1000)</f>
        <v>29.999999999999996</v>
      </c>
      <c r="BA29" s="276" t="s">
        <v>24</v>
      </c>
      <c r="BB29" s="96">
        <v>25</v>
      </c>
      <c r="BC29" s="313">
        <f>(BB29*BB28/1000)/($F32*$C25)</f>
        <v>2.5632262474367735E-2</v>
      </c>
      <c r="BD29" s="276" t="s">
        <v>23</v>
      </c>
      <c r="BE29" s="62">
        <v>7.0000000000000007E-2</v>
      </c>
      <c r="BF29" s="63">
        <f>+BE29*$C24*$F$9</f>
        <v>4.2</v>
      </c>
      <c r="BG29" s="276" t="s">
        <v>24</v>
      </c>
      <c r="BH29" s="64">
        <v>4</v>
      </c>
      <c r="BI29" s="65">
        <f>BH29/($F32*$C25)</f>
        <v>6.835269993164729E-2</v>
      </c>
    </row>
    <row r="30" spans="1:61" ht="17.25" customHeight="1">
      <c r="A30" s="291" t="s">
        <v>94</v>
      </c>
      <c r="B30" s="544" t="s">
        <v>178</v>
      </c>
      <c r="C30" s="445"/>
      <c r="D30" s="445"/>
      <c r="E30" s="446"/>
      <c r="F30" s="319">
        <f>(L24+R24+L29+X24+AD24+AJ24+AP24+AV24+AV29+BB24+BB29*(BB28/1000)+BH24+BH29)/C25</f>
        <v>0.61</v>
      </c>
      <c r="G30" s="320">
        <f>F30/(F30+F31)</f>
        <v>0.5324720670391061</v>
      </c>
      <c r="H30" s="70" t="s">
        <v>27</v>
      </c>
      <c r="I30" s="286">
        <v>7.0000000000000007E-2</v>
      </c>
      <c r="J30" s="287">
        <f>+I30*$E24*$F29</f>
        <v>2.1</v>
      </c>
      <c r="K30" s="70" t="s">
        <v>28</v>
      </c>
      <c r="L30" s="288">
        <v>2</v>
      </c>
      <c r="M30" s="289">
        <f>L30/($F32*$E25)</f>
        <v>6.835269993164729E-2</v>
      </c>
      <c r="N30" s="304" t="str">
        <f>VLOOKUP(N23,Friteuse!A:M,8,FALSE())</f>
        <v>Sel</v>
      </c>
      <c r="O30" s="79"/>
      <c r="P30" s="79"/>
      <c r="Q30" s="79"/>
      <c r="R30" s="530">
        <f>VLOOKUP(N23,Friteuse!A:M,9,FALSE())*P26</f>
        <v>1.7999999999999999E-2</v>
      </c>
      <c r="S30" s="475"/>
      <c r="T30" s="302">
        <f>VLOOKUP(T23,Wok!A:M,8,FALSE())</f>
        <v>0</v>
      </c>
      <c r="U30" s="77"/>
      <c r="V30" s="77"/>
      <c r="W30" s="77"/>
      <c r="X30" s="530">
        <f>VLOOKUP(T23,Wok!A:M,9,FALSE())*V26</f>
        <v>0</v>
      </c>
      <c r="Y30" s="475"/>
      <c r="Z30" s="302" t="str">
        <f>VLOOKUP(Z23,Poele!A:M,8,FALSE())</f>
        <v>Crème</v>
      </c>
      <c r="AA30" s="77"/>
      <c r="AB30" s="77"/>
      <c r="AC30" s="77"/>
      <c r="AD30" s="530">
        <f>VLOOKUP(Z23,Poele!A:M,9,FALSE())*AB26</f>
        <v>0.32399999999999995</v>
      </c>
      <c r="AE30" s="475"/>
      <c r="AF30" s="302" t="str">
        <f>VLOOKUP(AF23,Four!A:M,8,FALSE())</f>
        <v>Oignons</v>
      </c>
      <c r="AG30" s="77"/>
      <c r="AH30" s="77"/>
      <c r="AI30" s="77"/>
      <c r="AJ30" s="530">
        <f>VLOOKUP(AF23,Four!A:M,9,FALSE())*AH26</f>
        <v>0.45</v>
      </c>
      <c r="AK30" s="475"/>
      <c r="AL30" s="302" t="str">
        <f>VLOOKUP(AL23,Four!A:M,8,FALSE())</f>
        <v>Sce béchamel</v>
      </c>
      <c r="AM30" s="77"/>
      <c r="AN30" s="77"/>
      <c r="AO30" s="77"/>
      <c r="AP30" s="530">
        <f>VLOOKUP(AL23,Four!A:M,9,FALSE())*AN26</f>
        <v>0</v>
      </c>
      <c r="AQ30" s="475"/>
      <c r="AR30" s="70" t="s">
        <v>27</v>
      </c>
      <c r="AS30" s="286">
        <v>0.09</v>
      </c>
      <c r="AT30" s="287">
        <f>+AS30*$E24*$F29</f>
        <v>2.6999999999999997</v>
      </c>
      <c r="AU30" s="70" t="s">
        <v>28</v>
      </c>
      <c r="AV30" s="288">
        <v>2</v>
      </c>
      <c r="AW30" s="289">
        <f>AV30/($F32*$E25)</f>
        <v>6.835269993164729E-2</v>
      </c>
      <c r="AX30" s="80" t="s">
        <v>27</v>
      </c>
      <c r="AY30" s="286">
        <v>0.03</v>
      </c>
      <c r="AZ30" s="321">
        <f>AY30*E24*F29/(BB28/1000)</f>
        <v>14.999999999999998</v>
      </c>
      <c r="BA30" s="70" t="s">
        <v>28</v>
      </c>
      <c r="BB30" s="322">
        <v>13</v>
      </c>
      <c r="BC30" s="315">
        <f>(BB30*BB28/1000)/($F32*$E25)</f>
        <v>2.6657552973342446E-2</v>
      </c>
      <c r="BD30" s="70" t="s">
        <v>27</v>
      </c>
      <c r="BE30" s="286">
        <v>7.0000000000000007E-2</v>
      </c>
      <c r="BF30" s="287">
        <f>+BE30*$E24*$F29</f>
        <v>2.1</v>
      </c>
      <c r="BG30" s="70" t="s">
        <v>28</v>
      </c>
      <c r="BH30" s="288">
        <v>2</v>
      </c>
      <c r="BI30" s="290">
        <f>BH30/($F32*$E25)</f>
        <v>6.835269993164729E-2</v>
      </c>
    </row>
    <row r="31" spans="1:61" ht="17.25" customHeight="1">
      <c r="A31" s="291" t="s">
        <v>45</v>
      </c>
      <c r="B31" s="447"/>
      <c r="C31" s="434"/>
      <c r="D31" s="434"/>
      <c r="E31" s="435"/>
      <c r="F31" s="323">
        <f>(L25+L30+R25+X25+AD25+AJ25+AP25+AV25+AV30+BB25+BB30*(BB28/1000)+BH30+BH25)/E25</f>
        <v>0.53560000000000008</v>
      </c>
      <c r="G31" s="324">
        <f>F31/(F30+F31)</f>
        <v>0.46752793296089395</v>
      </c>
      <c r="H31" s="298" t="s">
        <v>31</v>
      </c>
      <c r="I31" s="299">
        <f>+J31/$G24</f>
        <v>4.2000000000000003E-2</v>
      </c>
      <c r="J31" s="74">
        <f>SUM(J29:J30)</f>
        <v>6.3000000000000007</v>
      </c>
      <c r="K31" s="75" t="s">
        <v>31</v>
      </c>
      <c r="L31" s="300">
        <f>SUM(L29:L30)</f>
        <v>6</v>
      </c>
      <c r="M31" s="301">
        <f>L31/($F32*$G25)</f>
        <v>6.8352699931647304E-2</v>
      </c>
      <c r="N31" s="304" t="str">
        <f>VLOOKUP(N23,Friteuse!A:M,10,FALSE())</f>
        <v>Panko</v>
      </c>
      <c r="O31" s="78"/>
      <c r="P31" s="78"/>
      <c r="Q31" s="78"/>
      <c r="R31" s="530">
        <f>VLOOKUP(N23,Friteuse!A:M,11,FALSE())*P26</f>
        <v>0.12</v>
      </c>
      <c r="S31" s="475"/>
      <c r="T31" s="302">
        <f>VLOOKUP(T23,Wok!A:M,10,FALSE())</f>
        <v>0</v>
      </c>
      <c r="U31" s="81"/>
      <c r="V31" s="81"/>
      <c r="W31" s="81"/>
      <c r="X31" s="530">
        <f>VLOOKUP(T23,Wok!A:M,11,FALSE())*V26</f>
        <v>0</v>
      </c>
      <c r="Y31" s="475"/>
      <c r="Z31" s="302" t="str">
        <f>VLOOKUP(Z23,Poele!A:M,10,FALSE())</f>
        <v>Vin blc cuisine</v>
      </c>
      <c r="AA31" s="81"/>
      <c r="AB31" s="81"/>
      <c r="AC31" s="81"/>
      <c r="AD31" s="530">
        <f>VLOOKUP(Z23,Poele!A:M,11,FALSE())*AB26</f>
        <v>0.13499999999999998</v>
      </c>
      <c r="AE31" s="475"/>
      <c r="AF31" s="302" t="str">
        <f>VLOOKUP(AF23,Four!A:M,10,FALSE())</f>
        <v>Crème épaisse</v>
      </c>
      <c r="AG31" s="81"/>
      <c r="AH31" s="81"/>
      <c r="AI31" s="81"/>
      <c r="AJ31" s="530">
        <f>VLOOKUP(AF23,Four!A:M,11,FALSE())*AH26</f>
        <v>0.45</v>
      </c>
      <c r="AK31" s="475"/>
      <c r="AL31" s="302">
        <f>VLOOKUP(AL23,Four!A:M,10,FALSE())</f>
        <v>0</v>
      </c>
      <c r="AM31" s="81"/>
      <c r="AN31" s="81"/>
      <c r="AO31" s="81"/>
      <c r="AP31" s="530">
        <f>VLOOKUP(AL23,Four!A:M,11,FALSE())*AN26</f>
        <v>0</v>
      </c>
      <c r="AQ31" s="475"/>
      <c r="AR31" s="298" t="s">
        <v>31</v>
      </c>
      <c r="AS31" s="299">
        <f>+AT31/$G24</f>
        <v>0.05</v>
      </c>
      <c r="AT31" s="74">
        <f>SUM(AT29:AT30)</f>
        <v>7.5</v>
      </c>
      <c r="AU31" s="75" t="s">
        <v>31</v>
      </c>
      <c r="AV31" s="300">
        <f>SUM(AV29:AV30)</f>
        <v>6</v>
      </c>
      <c r="AW31" s="301">
        <f>AV31/($F32*$G25)</f>
        <v>6.8352699931647304E-2</v>
      </c>
      <c r="AX31" s="308" t="s">
        <v>31</v>
      </c>
      <c r="AY31" s="299"/>
      <c r="AZ31" s="97">
        <f>SUM(AZ29:AZ30)</f>
        <v>44.999999999999993</v>
      </c>
      <c r="BA31" s="75" t="s">
        <v>31</v>
      </c>
      <c r="BB31" s="325">
        <f>SUM(BB29:BB30)</f>
        <v>38</v>
      </c>
      <c r="BC31" s="295">
        <f>(BB31*BB28/1000)/($F32*$G25)</f>
        <v>2.5974025974025972E-2</v>
      </c>
      <c r="BD31" s="298" t="s">
        <v>31</v>
      </c>
      <c r="BE31" s="299">
        <f>+BF31/$G24</f>
        <v>4.2000000000000003E-2</v>
      </c>
      <c r="BF31" s="74">
        <f>SUM(BF29:BF30)</f>
        <v>6.3000000000000007</v>
      </c>
      <c r="BG31" s="75" t="s">
        <v>31</v>
      </c>
      <c r="BH31" s="300">
        <f>SUM(BH29:BH30)</f>
        <v>6</v>
      </c>
      <c r="BI31" s="76">
        <f>BH31/($F32*$G25)</f>
        <v>6.8352699931647304E-2</v>
      </c>
    </row>
    <row r="32" spans="1:61" ht="17.25" customHeight="1">
      <c r="A32" s="291" t="s">
        <v>56</v>
      </c>
      <c r="B32" s="545" t="s">
        <v>159</v>
      </c>
      <c r="C32" s="431"/>
      <c r="D32" s="431"/>
      <c r="E32" s="432"/>
      <c r="F32" s="546">
        <f>(L26+L31+R26+X26+AD26+AJ26+AP26+AV26+AV31+BB31*BB28/1000+BB26+BH26+BH31)/G25</f>
        <v>0.58520000000000005</v>
      </c>
      <c r="G32" s="435"/>
      <c r="H32" s="302" t="str">
        <f>VLOOKUP(H28,Plancha2!A:M,2,FALSE())</f>
        <v>Ingr1</v>
      </c>
      <c r="I32" s="82"/>
      <c r="J32" s="78"/>
      <c r="K32" s="78"/>
      <c r="L32" s="529">
        <f>J31</f>
        <v>6.3000000000000007</v>
      </c>
      <c r="M32" s="475"/>
      <c r="N32" s="304">
        <f>VLOOKUP(N23,Friteuse!A:M,12,FALSE())</f>
        <v>0</v>
      </c>
      <c r="O32" s="306"/>
      <c r="P32" s="306"/>
      <c r="Q32" s="306"/>
      <c r="R32" s="542">
        <f>VLOOKUP(N23,Friteuse!A:M,13,FALSE())*P26</f>
        <v>0</v>
      </c>
      <c r="S32" s="435"/>
      <c r="T32" s="302">
        <f>VLOOKUP(T23,Wok!A:M,12,FALSE())</f>
        <v>0</v>
      </c>
      <c r="U32" s="309"/>
      <c r="V32" s="309"/>
      <c r="W32" s="309"/>
      <c r="X32" s="542">
        <f>VLOOKUP(T23,Wok!A:M,13,FALSE())*V26</f>
        <v>0</v>
      </c>
      <c r="Y32" s="435"/>
      <c r="Z32" s="302">
        <f>VLOOKUP(Z23,Poele!A:M,12,FALSE())</f>
        <v>0</v>
      </c>
      <c r="AA32" s="309"/>
      <c r="AB32" s="309"/>
      <c r="AC32" s="309"/>
      <c r="AD32" s="542">
        <f>VLOOKUP(Z23,Poele!A:M,13,FALSE())*AB26</f>
        <v>0</v>
      </c>
      <c r="AE32" s="435"/>
      <c r="AF32" s="302" t="str">
        <f>VLOOKUP(AF23,Four!A:M,12,FALSE())</f>
        <v>Vin blc</v>
      </c>
      <c r="AG32" s="309"/>
      <c r="AH32" s="309"/>
      <c r="AI32" s="309"/>
      <c r="AJ32" s="542">
        <f>VLOOKUP(AF23,Four!A:M,13,FALSE())*AH26</f>
        <v>0.27</v>
      </c>
      <c r="AK32" s="435"/>
      <c r="AL32" s="302">
        <f>VLOOKUP(AL23,Four!A:M,12,FALSE())</f>
        <v>0</v>
      </c>
      <c r="AM32" s="309"/>
      <c r="AN32" s="309"/>
      <c r="AO32" s="309"/>
      <c r="AP32" s="542">
        <f>VLOOKUP(AL23,Four!A:M,13,FALSE())*AN26</f>
        <v>0</v>
      </c>
      <c r="AQ32" s="435"/>
      <c r="AR32" s="310" t="s">
        <v>74</v>
      </c>
      <c r="AS32" s="82"/>
      <c r="AT32" s="78"/>
      <c r="AU32" s="78"/>
      <c r="AV32" s="529">
        <f>AT31</f>
        <v>7.5</v>
      </c>
      <c r="AW32" s="475"/>
      <c r="AX32" s="538" t="s">
        <v>75</v>
      </c>
      <c r="AY32" s="461"/>
      <c r="AZ32" s="461"/>
      <c r="BA32" s="311"/>
      <c r="BB32" s="529">
        <f>AZ31*(BB28/1000)</f>
        <v>2.6999999999999993</v>
      </c>
      <c r="BC32" s="475"/>
      <c r="BD32" s="543" t="s">
        <v>115</v>
      </c>
      <c r="BE32" s="461"/>
      <c r="BF32" s="461"/>
      <c r="BG32" s="311"/>
      <c r="BH32" s="529">
        <f>BF31</f>
        <v>6.3000000000000007</v>
      </c>
      <c r="BI32" s="503"/>
    </row>
    <row r="33" spans="1:61" ht="17.25" customHeight="1">
      <c r="A33" s="55">
        <f>A23+1</f>
        <v>45337</v>
      </c>
      <c r="B33" s="547" t="s">
        <v>8</v>
      </c>
      <c r="C33" s="432"/>
      <c r="D33" s="547" t="s">
        <v>9</v>
      </c>
      <c r="E33" s="432"/>
      <c r="F33" s="317" t="s">
        <v>10</v>
      </c>
      <c r="G33" s="318"/>
      <c r="H33" s="551" t="s">
        <v>149</v>
      </c>
      <c r="I33" s="552"/>
      <c r="J33" s="552"/>
      <c r="K33" s="552"/>
      <c r="L33" s="552"/>
      <c r="M33" s="553"/>
      <c r="N33" s="522" t="s">
        <v>192</v>
      </c>
      <c r="O33" s="431" t="s">
        <v>192</v>
      </c>
      <c r="P33" s="431" t="s">
        <v>192</v>
      </c>
      <c r="Q33" s="431" t="s">
        <v>192</v>
      </c>
      <c r="R33" s="431" t="s">
        <v>192</v>
      </c>
      <c r="S33" s="432" t="s">
        <v>192</v>
      </c>
      <c r="T33" s="523" t="s">
        <v>286</v>
      </c>
      <c r="U33" s="431" t="s">
        <v>286</v>
      </c>
      <c r="V33" s="431" t="s">
        <v>286</v>
      </c>
      <c r="W33" s="431" t="s">
        <v>286</v>
      </c>
      <c r="X33" s="431" t="s">
        <v>286</v>
      </c>
      <c r="Y33" s="432" t="s">
        <v>286</v>
      </c>
      <c r="Z33" s="523" t="s">
        <v>193</v>
      </c>
      <c r="AA33" s="431" t="s">
        <v>193</v>
      </c>
      <c r="AB33" s="431" t="s">
        <v>193</v>
      </c>
      <c r="AC33" s="431" t="s">
        <v>193</v>
      </c>
      <c r="AD33" s="431" t="s">
        <v>193</v>
      </c>
      <c r="AE33" s="432" t="s">
        <v>193</v>
      </c>
      <c r="AF33" s="519" t="s">
        <v>208</v>
      </c>
      <c r="AG33" s="431" t="s">
        <v>208</v>
      </c>
      <c r="AH33" s="431" t="s">
        <v>208</v>
      </c>
      <c r="AI33" s="431" t="s">
        <v>208</v>
      </c>
      <c r="AJ33" s="431" t="s">
        <v>208</v>
      </c>
      <c r="AK33" s="432" t="s">
        <v>208</v>
      </c>
      <c r="AL33" s="557" t="s">
        <v>298</v>
      </c>
      <c r="AM33" s="558" t="s">
        <v>298</v>
      </c>
      <c r="AN33" s="558" t="s">
        <v>298</v>
      </c>
      <c r="AO33" s="558" t="s">
        <v>298</v>
      </c>
      <c r="AP33" s="558" t="s">
        <v>298</v>
      </c>
      <c r="AQ33" s="559" t="s">
        <v>298</v>
      </c>
      <c r="AR33" s="481" t="s">
        <v>18</v>
      </c>
      <c r="AS33" s="431"/>
      <c r="AT33" s="431"/>
      <c r="AU33" s="431"/>
      <c r="AV33" s="431"/>
      <c r="AW33" s="432"/>
      <c r="AX33" s="482" t="s">
        <v>154</v>
      </c>
      <c r="AY33" s="434"/>
      <c r="AZ33" s="434"/>
      <c r="BA33" s="434"/>
      <c r="BB33" s="434"/>
      <c r="BC33" s="435"/>
      <c r="BD33" s="483" t="s">
        <v>155</v>
      </c>
      <c r="BE33" s="431"/>
      <c r="BF33" s="431"/>
      <c r="BG33" s="431"/>
      <c r="BH33" s="431"/>
      <c r="BI33" s="484"/>
    </row>
    <row r="34" spans="1:61" ht="17.25" customHeight="1">
      <c r="A34" s="269"/>
      <c r="B34" s="270" t="s">
        <v>22</v>
      </c>
      <c r="C34" s="271">
        <v>100</v>
      </c>
      <c r="D34" s="270" t="s">
        <v>22</v>
      </c>
      <c r="E34" s="272">
        <v>50</v>
      </c>
      <c r="F34" s="270" t="s">
        <v>22</v>
      </c>
      <c r="G34" s="56">
        <f t="shared" ref="G34:G35" si="3">+C34+E34</f>
        <v>150</v>
      </c>
      <c r="H34" s="276" t="s">
        <v>23</v>
      </c>
      <c r="I34" s="62">
        <v>0.05</v>
      </c>
      <c r="J34" s="63">
        <f>+I34*$C34*$F39</f>
        <v>3</v>
      </c>
      <c r="K34" s="276" t="s">
        <v>24</v>
      </c>
      <c r="L34" s="64">
        <v>3</v>
      </c>
      <c r="M34" s="277">
        <f>L34/($F42*$C35)</f>
        <v>5.1264524948735471E-2</v>
      </c>
      <c r="N34" s="273" t="s">
        <v>23</v>
      </c>
      <c r="O34" s="57">
        <v>0.01</v>
      </c>
      <c r="P34" s="58">
        <f>+O34*$C34*$F39</f>
        <v>0.6</v>
      </c>
      <c r="Q34" s="273" t="s">
        <v>24</v>
      </c>
      <c r="R34" s="84">
        <v>0.5</v>
      </c>
      <c r="S34" s="313">
        <f>R34/($F42*$C35)</f>
        <v>8.5440874914559112E-3</v>
      </c>
      <c r="T34" s="274" t="s">
        <v>23</v>
      </c>
      <c r="U34" s="60">
        <v>0.05</v>
      </c>
      <c r="V34" s="61">
        <f>+U34*$C34*$F39</f>
        <v>3</v>
      </c>
      <c r="W34" s="274" t="s">
        <v>24</v>
      </c>
      <c r="X34" s="59">
        <v>3</v>
      </c>
      <c r="Y34" s="275">
        <f>X34/($F42*$C35)</f>
        <v>5.1264524948735471E-2</v>
      </c>
      <c r="Z34" s="274" t="s">
        <v>23</v>
      </c>
      <c r="AA34" s="60">
        <v>0.03</v>
      </c>
      <c r="AB34" s="61">
        <f>+AA34*$C34*$F39</f>
        <v>1.7999999999999998</v>
      </c>
      <c r="AC34" s="274" t="s">
        <v>24</v>
      </c>
      <c r="AD34" s="59">
        <v>2</v>
      </c>
      <c r="AE34" s="275">
        <f>AD34/($F42*$C35)</f>
        <v>3.4176349965823645E-2</v>
      </c>
      <c r="AF34" s="274" t="s">
        <v>23</v>
      </c>
      <c r="AG34" s="60">
        <v>0.1</v>
      </c>
      <c r="AH34" s="61">
        <f>+AG34*$C34*$F39</f>
        <v>6</v>
      </c>
      <c r="AI34" s="274" t="s">
        <v>24</v>
      </c>
      <c r="AJ34" s="59">
        <v>6</v>
      </c>
      <c r="AK34" s="275">
        <f>AJ34/($F42*$C35)</f>
        <v>0.10252904989747094</v>
      </c>
      <c r="AL34" s="274" t="s">
        <v>23</v>
      </c>
      <c r="AM34" s="60">
        <v>0.05</v>
      </c>
      <c r="AN34" s="61">
        <f>+AM34*$C34*$F39</f>
        <v>3</v>
      </c>
      <c r="AO34" s="274" t="s">
        <v>24</v>
      </c>
      <c r="AP34" s="59">
        <v>3</v>
      </c>
      <c r="AQ34" s="275">
        <f>AP34/($F42*$C35)</f>
        <v>5.1264524948735471E-2</v>
      </c>
      <c r="AR34" s="276" t="s">
        <v>23</v>
      </c>
      <c r="AS34" s="62">
        <v>0.08</v>
      </c>
      <c r="AT34" s="63">
        <f>+AS34*$C34*$F39</f>
        <v>4.8</v>
      </c>
      <c r="AU34" s="276" t="s">
        <v>24</v>
      </c>
      <c r="AV34" s="64">
        <v>4</v>
      </c>
      <c r="AW34" s="277">
        <f>AV34/($F42*$C35)</f>
        <v>6.835269993164729E-2</v>
      </c>
      <c r="AX34" s="276" t="s">
        <v>23</v>
      </c>
      <c r="AY34" s="62">
        <v>0.43</v>
      </c>
      <c r="AZ34" s="63">
        <f>+AY34*$C34*$F39</f>
        <v>25.8</v>
      </c>
      <c r="BA34" s="276" t="s">
        <v>24</v>
      </c>
      <c r="BB34" s="64">
        <v>25</v>
      </c>
      <c r="BC34" s="277">
        <f>BB34/($F42*$C35)</f>
        <v>0.42720437457279559</v>
      </c>
      <c r="BD34" s="276" t="s">
        <v>23</v>
      </c>
      <c r="BE34" s="62">
        <v>0.02</v>
      </c>
      <c r="BF34" s="63">
        <f>+BE34*$C34*$F39</f>
        <v>1.2</v>
      </c>
      <c r="BG34" s="276" t="s">
        <v>24</v>
      </c>
      <c r="BH34" s="64">
        <v>1</v>
      </c>
      <c r="BI34" s="65">
        <f>BH34/($F42*$C35)</f>
        <v>1.7088174982911822E-2</v>
      </c>
    </row>
    <row r="35" spans="1:61" ht="17.25" customHeight="1">
      <c r="A35" s="278" t="s">
        <v>111</v>
      </c>
      <c r="B35" s="266" t="s">
        <v>26</v>
      </c>
      <c r="C35" s="66">
        <v>100</v>
      </c>
      <c r="D35" s="266" t="s">
        <v>26</v>
      </c>
      <c r="E35" s="67">
        <v>50</v>
      </c>
      <c r="F35" s="266" t="s">
        <v>26</v>
      </c>
      <c r="G35" s="279">
        <f t="shared" si="3"/>
        <v>150</v>
      </c>
      <c r="H35" s="70" t="s">
        <v>27</v>
      </c>
      <c r="I35" s="286">
        <v>0.03</v>
      </c>
      <c r="J35" s="287">
        <f>+I35*$E34*$F39</f>
        <v>0.89999999999999991</v>
      </c>
      <c r="K35" s="70" t="s">
        <v>28</v>
      </c>
      <c r="L35" s="288">
        <v>1</v>
      </c>
      <c r="M35" s="289">
        <f>L35/($F42*$E35)</f>
        <v>3.4176349965823645E-2</v>
      </c>
      <c r="N35" s="68" t="s">
        <v>27</v>
      </c>
      <c r="O35" s="280">
        <v>0.02</v>
      </c>
      <c r="P35" s="281">
        <f>+O35*$E34*$F39</f>
        <v>0.6</v>
      </c>
      <c r="Q35" s="68" t="s">
        <v>28</v>
      </c>
      <c r="R35" s="314">
        <v>0.5</v>
      </c>
      <c r="S35" s="315">
        <f>R35/($F42*$E35)</f>
        <v>1.7088174982911822E-2</v>
      </c>
      <c r="T35" s="69" t="s">
        <v>27</v>
      </c>
      <c r="U35" s="284">
        <v>0.03</v>
      </c>
      <c r="V35" s="285">
        <f>+U35*$E34*$F39</f>
        <v>0.89999999999999991</v>
      </c>
      <c r="W35" s="69" t="s">
        <v>28</v>
      </c>
      <c r="X35" s="282">
        <v>1</v>
      </c>
      <c r="Y35" s="283">
        <f>X35/($F42*$E35)</f>
        <v>3.4176349965823645E-2</v>
      </c>
      <c r="Z35" s="69" t="s">
        <v>27</v>
      </c>
      <c r="AA35" s="284">
        <v>0.03</v>
      </c>
      <c r="AB35" s="285">
        <f>+AA35*$E34*$F39</f>
        <v>0.89999999999999991</v>
      </c>
      <c r="AC35" s="69" t="s">
        <v>28</v>
      </c>
      <c r="AD35" s="282">
        <v>1</v>
      </c>
      <c r="AE35" s="283">
        <f>AD35/($F42*$E35)</f>
        <v>3.4176349965823645E-2</v>
      </c>
      <c r="AF35" s="69" t="s">
        <v>27</v>
      </c>
      <c r="AG35" s="284">
        <v>0.1</v>
      </c>
      <c r="AH35" s="285">
        <f>+AG35*$E34*$F39</f>
        <v>3</v>
      </c>
      <c r="AI35" s="69" t="s">
        <v>28</v>
      </c>
      <c r="AJ35" s="282">
        <v>3</v>
      </c>
      <c r="AK35" s="283">
        <f>AJ35/($F42*$E35)</f>
        <v>0.10252904989747094</v>
      </c>
      <c r="AL35" s="69" t="s">
        <v>27</v>
      </c>
      <c r="AM35" s="284">
        <v>0.03</v>
      </c>
      <c r="AN35" s="285">
        <f>+AM35*$E34*$F39</f>
        <v>0.89999999999999991</v>
      </c>
      <c r="AO35" s="69" t="s">
        <v>28</v>
      </c>
      <c r="AP35" s="282">
        <v>1</v>
      </c>
      <c r="AQ35" s="283">
        <f>AP35/($F42*$E35)</f>
        <v>3.4176349965823645E-2</v>
      </c>
      <c r="AR35" s="70" t="s">
        <v>27</v>
      </c>
      <c r="AS35" s="286">
        <v>0.09</v>
      </c>
      <c r="AT35" s="287">
        <f>+AS35*$E34*$F39</f>
        <v>2.6999999999999997</v>
      </c>
      <c r="AU35" s="70" t="s">
        <v>28</v>
      </c>
      <c r="AV35" s="288">
        <v>2</v>
      </c>
      <c r="AW35" s="289">
        <f>AV35/($F42*$E35)</f>
        <v>6.835269993164729E-2</v>
      </c>
      <c r="AX35" s="70" t="s">
        <v>27</v>
      </c>
      <c r="AY35" s="286">
        <v>0.34</v>
      </c>
      <c r="AZ35" s="287">
        <f>+AY35*$E34*$F39</f>
        <v>10.199999999999999</v>
      </c>
      <c r="BA35" s="70" t="s">
        <v>28</v>
      </c>
      <c r="BB35" s="288">
        <v>10</v>
      </c>
      <c r="BC35" s="289">
        <f>BB35/($F42*$E35)</f>
        <v>0.34176349965823649</v>
      </c>
      <c r="BD35" s="70" t="s">
        <v>27</v>
      </c>
      <c r="BE35" s="286">
        <v>0.02</v>
      </c>
      <c r="BF35" s="287">
        <f>+BE35*$E34*$F39</f>
        <v>0.6</v>
      </c>
      <c r="BG35" s="70" t="s">
        <v>28</v>
      </c>
      <c r="BH35" s="288">
        <v>0.5</v>
      </c>
      <c r="BI35" s="290">
        <f>BH35/($F42*$E35)</f>
        <v>1.7088174982911822E-2</v>
      </c>
    </row>
    <row r="36" spans="1:61" ht="17.25" customHeight="1">
      <c r="A36" s="291" t="s">
        <v>94</v>
      </c>
      <c r="B36" s="532" t="s">
        <v>30</v>
      </c>
      <c r="C36" s="454"/>
      <c r="D36" s="455"/>
      <c r="E36" s="533">
        <f>(I34+O34+U34+AA34+AG34+AM34+AS34+AY34+BE34+BE39+AY39+AS39+I39)/2</f>
        <v>0.53500000000000014</v>
      </c>
      <c r="F36" s="457"/>
      <c r="G36" s="534">
        <f>(E36+E37)</f>
        <v>1.0100000000000002</v>
      </c>
      <c r="H36" s="298" t="s">
        <v>31</v>
      </c>
      <c r="I36" s="299">
        <f>+J36/$G34</f>
        <v>2.5999999999999999E-2</v>
      </c>
      <c r="J36" s="74">
        <f>SUM(J34:J35)</f>
        <v>3.9</v>
      </c>
      <c r="K36" s="75" t="s">
        <v>31</v>
      </c>
      <c r="L36" s="300">
        <f>SUM(L34:L35)</f>
        <v>4</v>
      </c>
      <c r="M36" s="301">
        <f>L36/($F42*$G35)</f>
        <v>4.5568466621098203E-2</v>
      </c>
      <c r="N36" s="292" t="s">
        <v>31</v>
      </c>
      <c r="O36" s="293">
        <f>+P36/$G34</f>
        <v>8.0000000000000002E-3</v>
      </c>
      <c r="P36" s="71">
        <f>SUM(P34:P35)</f>
        <v>1.2</v>
      </c>
      <c r="Q36" s="85" t="s">
        <v>31</v>
      </c>
      <c r="R36" s="316">
        <f>SUM(R34:R35)</f>
        <v>1</v>
      </c>
      <c r="S36" s="295">
        <f>R36/($F42*$G35)</f>
        <v>1.1392116655274551E-2</v>
      </c>
      <c r="T36" s="296" t="s">
        <v>31</v>
      </c>
      <c r="U36" s="297">
        <f>+V36/$G34</f>
        <v>2.5999999999999999E-2</v>
      </c>
      <c r="V36" s="73">
        <f>SUM(V34:V35)</f>
        <v>3.9</v>
      </c>
      <c r="W36" s="72" t="s">
        <v>31</v>
      </c>
      <c r="X36" s="294">
        <f>SUM(X34:X35)</f>
        <v>4</v>
      </c>
      <c r="Y36" s="295">
        <f>X36/($F42*$G35)</f>
        <v>4.5568466621098203E-2</v>
      </c>
      <c r="Z36" s="296" t="s">
        <v>31</v>
      </c>
      <c r="AA36" s="297">
        <f>+AB36/$G34</f>
        <v>1.7999999999999999E-2</v>
      </c>
      <c r="AB36" s="73">
        <f>SUM(AB34:AB35)</f>
        <v>2.6999999999999997</v>
      </c>
      <c r="AC36" s="72" t="s">
        <v>31</v>
      </c>
      <c r="AD36" s="294">
        <f>SUM(AD34:AD35)</f>
        <v>3</v>
      </c>
      <c r="AE36" s="295">
        <f>AD36/($F42*$G35)</f>
        <v>3.4176349965823652E-2</v>
      </c>
      <c r="AF36" s="296" t="s">
        <v>31</v>
      </c>
      <c r="AG36" s="297">
        <f>+AH36/$G34</f>
        <v>0.06</v>
      </c>
      <c r="AH36" s="73">
        <f>SUM(AH34:AH35)</f>
        <v>9</v>
      </c>
      <c r="AI36" s="72" t="s">
        <v>31</v>
      </c>
      <c r="AJ36" s="294">
        <f>SUM(AJ34:AJ35)</f>
        <v>9</v>
      </c>
      <c r="AK36" s="295">
        <f>AJ36/($F42*$G35)</f>
        <v>0.10252904989747094</v>
      </c>
      <c r="AL36" s="296" t="s">
        <v>31</v>
      </c>
      <c r="AM36" s="297">
        <f>+AN36/$G34</f>
        <v>2.5999999999999999E-2</v>
      </c>
      <c r="AN36" s="73">
        <f>SUM(AN34:AN35)</f>
        <v>3.9</v>
      </c>
      <c r="AO36" s="72" t="s">
        <v>31</v>
      </c>
      <c r="AP36" s="294">
        <f>SUM(AP34:AP35)</f>
        <v>4</v>
      </c>
      <c r="AQ36" s="295">
        <f>AP36/($F42*$G35)</f>
        <v>4.5568466621098203E-2</v>
      </c>
      <c r="AR36" s="298" t="s">
        <v>31</v>
      </c>
      <c r="AS36" s="299">
        <f>+AT36/$G34</f>
        <v>0.05</v>
      </c>
      <c r="AT36" s="74">
        <f>SUM(AT34:AT35)</f>
        <v>7.5</v>
      </c>
      <c r="AU36" s="75" t="s">
        <v>31</v>
      </c>
      <c r="AV36" s="300">
        <f>SUM(AV34:AV35)</f>
        <v>6</v>
      </c>
      <c r="AW36" s="301">
        <f>AV36/($F42*$G35)</f>
        <v>6.8352699931647304E-2</v>
      </c>
      <c r="AX36" s="298" t="s">
        <v>31</v>
      </c>
      <c r="AY36" s="299">
        <f>+AZ36/$G34</f>
        <v>0.24</v>
      </c>
      <c r="AZ36" s="74">
        <f>SUM(AZ34:AZ35)</f>
        <v>36</v>
      </c>
      <c r="BA36" s="75" t="s">
        <v>31</v>
      </c>
      <c r="BB36" s="300">
        <f>SUM(BB34:BB35)</f>
        <v>35</v>
      </c>
      <c r="BC36" s="301">
        <f>BB36/($F42*$G35)</f>
        <v>0.39872408293460926</v>
      </c>
      <c r="BD36" s="298" t="s">
        <v>31</v>
      </c>
      <c r="BE36" s="299">
        <f>+BF36/$G34</f>
        <v>1.1999999999999999E-2</v>
      </c>
      <c r="BF36" s="74">
        <f>SUM(BF34:BF35)</f>
        <v>1.7999999999999998</v>
      </c>
      <c r="BG36" s="75" t="s">
        <v>31</v>
      </c>
      <c r="BH36" s="300">
        <f>SUM(BH34:BH35)</f>
        <v>1.5</v>
      </c>
      <c r="BI36" s="76">
        <f>BH36/($F42*$G35)</f>
        <v>1.7088174982911826E-2</v>
      </c>
    </row>
    <row r="37" spans="1:61" ht="17.25" customHeight="1">
      <c r="A37" s="291" t="s">
        <v>29</v>
      </c>
      <c r="B37" s="535" t="s">
        <v>34</v>
      </c>
      <c r="C37" s="461"/>
      <c r="D37" s="462"/>
      <c r="E37" s="536">
        <f>(I35+O35+U35+AA35+AG35+AM35+AS35+AY35+BE35+AS40+AY40+BE40+I40)/2</f>
        <v>0.47500000000000009</v>
      </c>
      <c r="F37" s="464"/>
      <c r="G37" s="459"/>
      <c r="H37" s="537" t="str">
        <f>VLOOKUP(H33,Plancha2!A:M,2,FALSE())</f>
        <v>Poisson</v>
      </c>
      <c r="I37" s="474"/>
      <c r="J37" s="474"/>
      <c r="K37" s="306"/>
      <c r="L37" s="529">
        <f>J36</f>
        <v>3.9</v>
      </c>
      <c r="M37" s="475"/>
      <c r="N37" s="304" t="str">
        <f>VLOOKUP(N33,Friteuse!A:M,2,FALSE())</f>
        <v>Oeuf</v>
      </c>
      <c r="O37" s="305"/>
      <c r="P37" s="305"/>
      <c r="Q37" s="77"/>
      <c r="R37" s="529">
        <f>VLOOKUP(N33,Friteuse!A:M,3,FALSE())*P36</f>
        <v>0.24</v>
      </c>
      <c r="S37" s="475"/>
      <c r="T37" s="302" t="str">
        <f>VLOOKUP(T33,Wok!A:M,2,FALSE())</f>
        <v>Pâtes</v>
      </c>
      <c r="U37" s="303"/>
      <c r="V37" s="303"/>
      <c r="W37" s="77"/>
      <c r="X37" s="529">
        <f>VLOOKUP(T33,Wok!A:M,3,FALSE())*V36</f>
        <v>1.6379999999999999</v>
      </c>
      <c r="Y37" s="475"/>
      <c r="Z37" s="302" t="str">
        <f>VLOOKUP(Z33,Poele!A:M,2,FALSE())</f>
        <v>Carottes</v>
      </c>
      <c r="AA37" s="303"/>
      <c r="AB37" s="303"/>
      <c r="AC37" s="77"/>
      <c r="AD37" s="529">
        <f>VLOOKUP(Z33,Poele!A:M,3,FALSE())*AB36</f>
        <v>0</v>
      </c>
      <c r="AE37" s="475"/>
      <c r="AF37" s="302" t="str">
        <f>VLOOKUP(AF33,Four!A:M,2,FALSE())</f>
        <v>PDT</v>
      </c>
      <c r="AG37" s="303"/>
      <c r="AH37" s="303"/>
      <c r="AI37" s="77"/>
      <c r="AJ37" s="529">
        <f>VLOOKUP(AF33,Four!A:M,3,FALSE())*AH36</f>
        <v>4.5</v>
      </c>
      <c r="AK37" s="475"/>
      <c r="AL37" s="302" t="str">
        <f>VLOOKUP(AL33,Four!A:M,2,FALSE())</f>
        <v>Chaire à saucisse</v>
      </c>
      <c r="AM37" s="303"/>
      <c r="AN37" s="303"/>
      <c r="AO37" s="77"/>
      <c r="AP37" s="529">
        <f>VLOOKUP(AL33,Four!A:M,3,FALSE())*AN36</f>
        <v>1.2869999999999999</v>
      </c>
      <c r="AQ37" s="475"/>
      <c r="AR37" s="538" t="s">
        <v>42</v>
      </c>
      <c r="AS37" s="461"/>
      <c r="AT37" s="461"/>
      <c r="AU37" s="306"/>
      <c r="AV37" s="529">
        <f>AT36</f>
        <v>7.5</v>
      </c>
      <c r="AW37" s="475"/>
      <c r="AX37" s="528" t="s">
        <v>156</v>
      </c>
      <c r="AY37" s="471"/>
      <c r="AZ37" s="471"/>
      <c r="BA37" s="78"/>
      <c r="BB37" s="529">
        <f>AZ36</f>
        <v>36</v>
      </c>
      <c r="BC37" s="475"/>
      <c r="BD37" s="528" t="s">
        <v>157</v>
      </c>
      <c r="BE37" s="471"/>
      <c r="BF37" s="471"/>
      <c r="BG37" s="78"/>
      <c r="BH37" s="529">
        <f>BF36</f>
        <v>1.7999999999999998</v>
      </c>
      <c r="BI37" s="503"/>
    </row>
    <row r="38" spans="1:61" ht="17.25" customHeight="1">
      <c r="A38" s="291" t="s">
        <v>45</v>
      </c>
      <c r="B38" s="539" t="s">
        <v>46</v>
      </c>
      <c r="C38" s="445"/>
      <c r="D38" s="517"/>
      <c r="E38" s="540">
        <f>(L36+R36+X36+AD36+AJ36+AP36+AV36+BB36+BH36+BH41+(BB41*BB38/1000)+L41+AV41)/(G35*F42)</f>
        <v>1</v>
      </c>
      <c r="F38" s="474"/>
      <c r="G38" s="475"/>
      <c r="H38" s="551" t="s">
        <v>223</v>
      </c>
      <c r="I38" s="552" t="s">
        <v>223</v>
      </c>
      <c r="J38" s="552" t="s">
        <v>223</v>
      </c>
      <c r="K38" s="552" t="s">
        <v>223</v>
      </c>
      <c r="L38" s="552" t="s">
        <v>223</v>
      </c>
      <c r="M38" s="553" t="s">
        <v>223</v>
      </c>
      <c r="N38" s="304" t="str">
        <f>VLOOKUP(N33,Friteuse!A:M,4,FALSE())</f>
        <v>Carotte</v>
      </c>
      <c r="O38" s="79"/>
      <c r="P38" s="79"/>
      <c r="Q38" s="79"/>
      <c r="R38" s="530">
        <f>VLOOKUP(N33,Friteuse!A:M,5,FALSE())*P36</f>
        <v>0.54</v>
      </c>
      <c r="S38" s="475"/>
      <c r="T38" s="302" t="str">
        <f>VLOOKUP(T33,Wok!A:M,4,FALSE())</f>
        <v>Courgettes</v>
      </c>
      <c r="U38" s="77"/>
      <c r="V38" s="77"/>
      <c r="W38" s="77"/>
      <c r="X38" s="530">
        <f>VLOOKUP(T33,Wok!A:M,5,FALSE())*V36</f>
        <v>0.78</v>
      </c>
      <c r="Y38" s="475"/>
      <c r="Z38" s="302" t="str">
        <f>VLOOKUP(Z33,Poele!A:M,4,FALSE())</f>
        <v>Persillade</v>
      </c>
      <c r="AA38" s="77"/>
      <c r="AB38" s="77"/>
      <c r="AC38" s="77"/>
      <c r="AD38" s="530">
        <f>VLOOKUP(Z33,Poele!A:M,5,FALSE())*AB36</f>
        <v>0</v>
      </c>
      <c r="AE38" s="475"/>
      <c r="AF38" s="302" t="str">
        <f>VLOOKUP(AF33,Four!A:M,4,FALSE())</f>
        <v>Reblochon</v>
      </c>
      <c r="AG38" s="77"/>
      <c r="AH38" s="77"/>
      <c r="AI38" s="77"/>
      <c r="AJ38" s="530">
        <f>VLOOKUP(AF33,Four!A:M,5,FALSE())*AH36</f>
        <v>2.4300000000000002</v>
      </c>
      <c r="AK38" s="475"/>
      <c r="AL38" s="302" t="str">
        <f>VLOOKUP(AL33,Four!A:M,4,FALSE())</f>
        <v>Boeuf haché</v>
      </c>
      <c r="AM38" s="77"/>
      <c r="AN38" s="77"/>
      <c r="AO38" s="77"/>
      <c r="AP38" s="530">
        <f>VLOOKUP(AL33,Four!A:M,5,FALSE())*AN36</f>
        <v>1.2869999999999999</v>
      </c>
      <c r="AQ38" s="475"/>
      <c r="AR38" s="481" t="s">
        <v>54</v>
      </c>
      <c r="AS38" s="431"/>
      <c r="AT38" s="431"/>
      <c r="AU38" s="431"/>
      <c r="AV38" s="431"/>
      <c r="AW38" s="432"/>
      <c r="AX38" s="481" t="s">
        <v>55</v>
      </c>
      <c r="AY38" s="431"/>
      <c r="AZ38" s="431"/>
      <c r="BA38" s="431"/>
      <c r="BB38" s="531">
        <v>60</v>
      </c>
      <c r="BC38" s="432"/>
      <c r="BD38" s="483" t="s">
        <v>163</v>
      </c>
      <c r="BE38" s="431"/>
      <c r="BF38" s="431"/>
      <c r="BG38" s="431"/>
      <c r="BH38" s="431"/>
      <c r="BI38" s="484"/>
    </row>
    <row r="39" spans="1:61" ht="17.25" customHeight="1">
      <c r="A39" s="291" t="s">
        <v>56</v>
      </c>
      <c r="B39" s="513" t="s">
        <v>158</v>
      </c>
      <c r="C39" s="445"/>
      <c r="D39" s="445"/>
      <c r="E39" s="445"/>
      <c r="F39" s="541">
        <v>0.6</v>
      </c>
      <c r="G39" s="446"/>
      <c r="H39" s="276" t="s">
        <v>23</v>
      </c>
      <c r="I39" s="62">
        <v>7.0000000000000007E-2</v>
      </c>
      <c r="J39" s="63">
        <f>+I39*$C34*$F$9</f>
        <v>4.2</v>
      </c>
      <c r="K39" s="276" t="s">
        <v>24</v>
      </c>
      <c r="L39" s="64">
        <v>4</v>
      </c>
      <c r="M39" s="277">
        <f>L39/($F42*$C35)</f>
        <v>6.835269993164729E-2</v>
      </c>
      <c r="N39" s="304" t="str">
        <f>VLOOKUP(N33,Friteuse!A:M,6,FALSE())</f>
        <v>Farine</v>
      </c>
      <c r="O39" s="79"/>
      <c r="P39" s="79"/>
      <c r="Q39" s="79"/>
      <c r="R39" s="530">
        <f>VLOOKUP(N33,Friteuse!A:M,7,FALSE())*P36</f>
        <v>0.36</v>
      </c>
      <c r="S39" s="475"/>
      <c r="T39" s="302" t="str">
        <f>VLOOKUP(T33,Wok!A:M,6,FALSE())</f>
        <v>Lardons</v>
      </c>
      <c r="U39" s="77"/>
      <c r="V39" s="77"/>
      <c r="W39" s="77"/>
      <c r="X39" s="530">
        <f>VLOOKUP(T33,Wok!A:M,7,FALSE())*V36</f>
        <v>1.2869999999999999</v>
      </c>
      <c r="Y39" s="475"/>
      <c r="Z39" s="302">
        <f>VLOOKUP(Z33,Poele!A:M,6,FALSE())</f>
        <v>0</v>
      </c>
      <c r="AA39" s="77"/>
      <c r="AB39" s="77"/>
      <c r="AC39" s="77"/>
      <c r="AD39" s="530">
        <f>VLOOKUP(Z33,Poele!A:M,7,FALSE())*AB36</f>
        <v>0</v>
      </c>
      <c r="AE39" s="475"/>
      <c r="AF39" s="302" t="str">
        <f>VLOOKUP(AF33,Four!A:M,6,FALSE())</f>
        <v>Lardons fumés</v>
      </c>
      <c r="AG39" s="77"/>
      <c r="AH39" s="77"/>
      <c r="AI39" s="77"/>
      <c r="AJ39" s="530">
        <f>VLOOKUP(AF33,Four!A:M,7,FALSE())*AH36</f>
        <v>0.9</v>
      </c>
      <c r="AK39" s="475"/>
      <c r="AL39" s="302" t="str">
        <f>VLOOKUP(AL33,Four!A:M,6,FALSE())</f>
        <v>Persillade</v>
      </c>
      <c r="AM39" s="77"/>
      <c r="AN39" s="77"/>
      <c r="AO39" s="77"/>
      <c r="AP39" s="530">
        <f>VLOOKUP(AL33,Four!A:M,7,FALSE())*AN36</f>
        <v>3.8999999999999998E-3</v>
      </c>
      <c r="AQ39" s="475"/>
      <c r="AR39" s="276" t="s">
        <v>23</v>
      </c>
      <c r="AS39" s="62">
        <v>0.08</v>
      </c>
      <c r="AT39" s="63">
        <f>+AS39*$C34*$F$9</f>
        <v>4.8</v>
      </c>
      <c r="AU39" s="276" t="s">
        <v>24</v>
      </c>
      <c r="AV39" s="64">
        <v>4</v>
      </c>
      <c r="AW39" s="277">
        <f>AV39/($F42*$C35)</f>
        <v>6.835269993164729E-2</v>
      </c>
      <c r="AX39" s="307" t="s">
        <v>23</v>
      </c>
      <c r="AY39" s="62">
        <v>0.03</v>
      </c>
      <c r="AZ39" s="95">
        <f>AY39*C34*F39/(BB38/1000)</f>
        <v>29.999999999999996</v>
      </c>
      <c r="BA39" s="276" t="s">
        <v>24</v>
      </c>
      <c r="BB39" s="96">
        <v>25</v>
      </c>
      <c r="BC39" s="313">
        <f>(BB39*BB38/1000)/($F42*$C35)</f>
        <v>2.5632262474367735E-2</v>
      </c>
      <c r="BD39" s="276" t="s">
        <v>23</v>
      </c>
      <c r="BE39" s="62">
        <v>7.0000000000000007E-2</v>
      </c>
      <c r="BF39" s="63">
        <f>+BE39*$C34*$F$9</f>
        <v>4.2</v>
      </c>
      <c r="BG39" s="276" t="s">
        <v>24</v>
      </c>
      <c r="BH39" s="64">
        <v>4</v>
      </c>
      <c r="BI39" s="65">
        <f>BH39/($F42*$C35)</f>
        <v>6.835269993164729E-2</v>
      </c>
    </row>
    <row r="40" spans="1:61" ht="17.25" customHeight="1">
      <c r="A40" s="291"/>
      <c r="B40" s="544" t="s">
        <v>178</v>
      </c>
      <c r="C40" s="445"/>
      <c r="D40" s="445"/>
      <c r="E40" s="446"/>
      <c r="F40" s="319">
        <f>(L34+R34+L39+X34+AD34+AJ34+AP34+AV34+AV39+BB34+BB39*(BB38/1000)+BH34+BH39)/C35</f>
        <v>0.61</v>
      </c>
      <c r="G40" s="320">
        <f>F40/(F40+F41)</f>
        <v>0.5324720670391061</v>
      </c>
      <c r="H40" s="70" t="s">
        <v>27</v>
      </c>
      <c r="I40" s="286">
        <v>7.0000000000000007E-2</v>
      </c>
      <c r="J40" s="287">
        <f>+I40*$E34*$F39</f>
        <v>2.1</v>
      </c>
      <c r="K40" s="70" t="s">
        <v>28</v>
      </c>
      <c r="L40" s="288">
        <v>2</v>
      </c>
      <c r="M40" s="289">
        <f>L40/($F42*$E35)</f>
        <v>6.835269993164729E-2</v>
      </c>
      <c r="N40" s="302" t="str">
        <f>VLOOKUP(N33,Friteuse!A:M,8,FALSE())</f>
        <v>Lait</v>
      </c>
      <c r="O40" s="79"/>
      <c r="P40" s="79"/>
      <c r="Q40" s="79"/>
      <c r="R40" s="530">
        <f>VLOOKUP(N33,Friteuse!A:M,9,FALSE())*P36</f>
        <v>0.06</v>
      </c>
      <c r="S40" s="475"/>
      <c r="T40" s="302" t="str">
        <f>VLOOKUP(T33,Wok!A:M,8,FALSE())</f>
        <v>Sce napo</v>
      </c>
      <c r="U40" s="77"/>
      <c r="V40" s="77"/>
      <c r="W40" s="77"/>
      <c r="X40" s="530">
        <f>VLOOKUP(T33,Wok!A:M,9,FALSE())*V36</f>
        <v>0.19500000000000001</v>
      </c>
      <c r="Y40" s="475"/>
      <c r="Z40" s="302">
        <f>VLOOKUP(Z33,Poele!A:M,8,FALSE())</f>
        <v>0</v>
      </c>
      <c r="AA40" s="77"/>
      <c r="AB40" s="77"/>
      <c r="AC40" s="77"/>
      <c r="AD40" s="530">
        <f>VLOOKUP(Z33,Poele!A:M,9,FALSE())*AB36</f>
        <v>0</v>
      </c>
      <c r="AE40" s="475"/>
      <c r="AF40" s="302" t="str">
        <f>VLOOKUP(AF33,Four!A:M,8,FALSE())</f>
        <v>Oignons</v>
      </c>
      <c r="AG40" s="77"/>
      <c r="AH40" s="77"/>
      <c r="AI40" s="77"/>
      <c r="AJ40" s="530">
        <f>VLOOKUP(AF33,Four!A:M,9,FALSE())*AH36</f>
        <v>0.45</v>
      </c>
      <c r="AK40" s="475"/>
      <c r="AL40" s="302" t="str">
        <f>VLOOKUP(AL33,Four!A:M,8,FALSE())</f>
        <v>Oeuf</v>
      </c>
      <c r="AM40" s="77"/>
      <c r="AN40" s="77"/>
      <c r="AO40" s="77"/>
      <c r="AP40" s="530">
        <f>VLOOKUP(AL33,Four!A:M,9,FALSE())*AN36</f>
        <v>3.8999999999999998E-3</v>
      </c>
      <c r="AQ40" s="475"/>
      <c r="AR40" s="70" t="s">
        <v>27</v>
      </c>
      <c r="AS40" s="286">
        <v>0.09</v>
      </c>
      <c r="AT40" s="287">
        <f>+AS40*$E34*$F39</f>
        <v>2.6999999999999997</v>
      </c>
      <c r="AU40" s="70" t="s">
        <v>28</v>
      </c>
      <c r="AV40" s="288">
        <v>2</v>
      </c>
      <c r="AW40" s="289">
        <f>AV40/($F42*$E35)</f>
        <v>6.835269993164729E-2</v>
      </c>
      <c r="AX40" s="80" t="s">
        <v>27</v>
      </c>
      <c r="AY40" s="286">
        <v>0.03</v>
      </c>
      <c r="AZ40" s="321">
        <f>AY40*E34*F39/(BB38/1000)</f>
        <v>14.999999999999998</v>
      </c>
      <c r="BA40" s="70" t="s">
        <v>28</v>
      </c>
      <c r="BB40" s="322">
        <v>13</v>
      </c>
      <c r="BC40" s="315">
        <f>(BB40*BB38/1000)/($F42*$E35)</f>
        <v>2.6657552973342446E-2</v>
      </c>
      <c r="BD40" s="70" t="s">
        <v>27</v>
      </c>
      <c r="BE40" s="286">
        <v>7.0000000000000007E-2</v>
      </c>
      <c r="BF40" s="287">
        <f>+BE40*$E34*$F39</f>
        <v>2.1</v>
      </c>
      <c r="BG40" s="70" t="s">
        <v>28</v>
      </c>
      <c r="BH40" s="288">
        <v>2</v>
      </c>
      <c r="BI40" s="290">
        <f>BH40/($F42*$E35)</f>
        <v>6.835269993164729E-2</v>
      </c>
    </row>
    <row r="41" spans="1:61" ht="17.25" customHeight="1">
      <c r="A41" s="291"/>
      <c r="B41" s="447"/>
      <c r="C41" s="434"/>
      <c r="D41" s="434"/>
      <c r="E41" s="435"/>
      <c r="F41" s="323">
        <f>(L35+L40+R35+X35+AD35+AJ35+AP35+AV35+AV40+BB35+BB40*(BB38/1000)+BH40+BH35)/E35</f>
        <v>0.53560000000000008</v>
      </c>
      <c r="G41" s="324">
        <f>F41/(F40+F41)</f>
        <v>0.46752793296089395</v>
      </c>
      <c r="H41" s="298" t="s">
        <v>31</v>
      </c>
      <c r="I41" s="299">
        <f>+J41/$G34</f>
        <v>4.2000000000000003E-2</v>
      </c>
      <c r="J41" s="74">
        <f>SUM(J39:J40)</f>
        <v>6.3000000000000007</v>
      </c>
      <c r="K41" s="75" t="s">
        <v>31</v>
      </c>
      <c r="L41" s="300">
        <f>SUM(L39:L40)</f>
        <v>6</v>
      </c>
      <c r="M41" s="301">
        <f>L41/($F42*$G35)</f>
        <v>6.8352699931647304E-2</v>
      </c>
      <c r="N41" s="302" t="str">
        <f>VLOOKUP(N33,Friteuse!A:M,10,FALSE())</f>
        <v>Levure</v>
      </c>
      <c r="O41" s="78"/>
      <c r="P41" s="78"/>
      <c r="Q41" s="78"/>
      <c r="R41" s="530">
        <f>VLOOKUP(N33,Friteuse!A:M,11,FALSE())*P36</f>
        <v>1.1999999999999999E-3</v>
      </c>
      <c r="S41" s="475"/>
      <c r="T41" s="302">
        <f>VLOOKUP(T33,Wok!A:M,10,FALSE())</f>
        <v>0</v>
      </c>
      <c r="U41" s="81"/>
      <c r="V41" s="81"/>
      <c r="W41" s="81"/>
      <c r="X41" s="530">
        <f>VLOOKUP(T33,Wok!A:M,11,FALSE())*V36</f>
        <v>0</v>
      </c>
      <c r="Y41" s="475"/>
      <c r="Z41" s="302">
        <f>VLOOKUP(Z33,Poele!A:M,10,FALSE())</f>
        <v>0</v>
      </c>
      <c r="AA41" s="81"/>
      <c r="AB41" s="81"/>
      <c r="AC41" s="81"/>
      <c r="AD41" s="530">
        <f>VLOOKUP(Z33,Poele!A:M,11,FALSE())*AB36</f>
        <v>0</v>
      </c>
      <c r="AE41" s="475"/>
      <c r="AF41" s="302" t="str">
        <f>VLOOKUP(AF33,Four!A:M,10,FALSE())</f>
        <v>Crème épaisse</v>
      </c>
      <c r="AG41" s="81"/>
      <c r="AH41" s="81"/>
      <c r="AI41" s="81"/>
      <c r="AJ41" s="530">
        <f>VLOOKUP(AF33,Four!A:M,11,FALSE())*AH36</f>
        <v>0.45</v>
      </c>
      <c r="AK41" s="475"/>
      <c r="AL41" s="302" t="str">
        <f>VLOOKUP(AL33,Four!A:M,10,FALSE())</f>
        <v>Champignons</v>
      </c>
      <c r="AM41" s="81"/>
      <c r="AN41" s="81"/>
      <c r="AO41" s="81"/>
      <c r="AP41" s="530">
        <f>VLOOKUP(AL33,Four!A:M,11,FALSE())*AN36</f>
        <v>3.9E-2</v>
      </c>
      <c r="AQ41" s="475"/>
      <c r="AR41" s="298" t="s">
        <v>31</v>
      </c>
      <c r="AS41" s="299">
        <f>+AT41/$G34</f>
        <v>0.05</v>
      </c>
      <c r="AT41" s="74">
        <f>SUM(AT39:AT40)</f>
        <v>7.5</v>
      </c>
      <c r="AU41" s="75" t="s">
        <v>31</v>
      </c>
      <c r="AV41" s="300">
        <f>SUM(AV39:AV40)</f>
        <v>6</v>
      </c>
      <c r="AW41" s="301">
        <f>AV41/($F42*$G35)</f>
        <v>6.8352699931647304E-2</v>
      </c>
      <c r="AX41" s="308" t="s">
        <v>31</v>
      </c>
      <c r="AY41" s="299"/>
      <c r="AZ41" s="97">
        <f>SUM(AZ39:AZ40)</f>
        <v>44.999999999999993</v>
      </c>
      <c r="BA41" s="75" t="s">
        <v>31</v>
      </c>
      <c r="BB41" s="325">
        <f>SUM(BB39:BB40)</f>
        <v>38</v>
      </c>
      <c r="BC41" s="295">
        <f>(BB41*BB38/1000)/($F42*$G35)</f>
        <v>2.5974025974025972E-2</v>
      </c>
      <c r="BD41" s="298" t="s">
        <v>31</v>
      </c>
      <c r="BE41" s="299">
        <f>+BF41/$G34</f>
        <v>4.2000000000000003E-2</v>
      </c>
      <c r="BF41" s="74">
        <f>SUM(BF39:BF40)</f>
        <v>6.3000000000000007</v>
      </c>
      <c r="BG41" s="75" t="s">
        <v>31</v>
      </c>
      <c r="BH41" s="300">
        <f>SUM(BH39:BH40)</f>
        <v>6</v>
      </c>
      <c r="BI41" s="76">
        <f>BH41/($F42*$G35)</f>
        <v>6.8352699931647304E-2</v>
      </c>
    </row>
    <row r="42" spans="1:61" ht="17.25" customHeight="1">
      <c r="A42" s="291"/>
      <c r="B42" s="545" t="s">
        <v>159</v>
      </c>
      <c r="C42" s="431"/>
      <c r="D42" s="431"/>
      <c r="E42" s="432"/>
      <c r="F42" s="546">
        <f>(L36+L41+R36+X36+AD36+AJ36+AP36+AV36+AV41+BB41*BB38/1000+BB36+BH36+BH41)/G35</f>
        <v>0.58520000000000005</v>
      </c>
      <c r="G42" s="435"/>
      <c r="H42" s="302" t="str">
        <f>VLOOKUP(H38,Plancha2!A:M,2,FALSE())</f>
        <v>Ingr1</v>
      </c>
      <c r="I42" s="82"/>
      <c r="J42" s="78"/>
      <c r="K42" s="78"/>
      <c r="L42" s="529">
        <f>J41</f>
        <v>6.3000000000000007</v>
      </c>
      <c r="M42" s="475"/>
      <c r="N42" s="302" t="str">
        <f>VLOOKUP(N33,Friteuse!A:M,12,FALSE())</f>
        <v>Curry gold</v>
      </c>
      <c r="O42" s="306"/>
      <c r="P42" s="306"/>
      <c r="Q42" s="306"/>
      <c r="R42" s="542">
        <f>VLOOKUP(N33,Friteuse!A:M,13,FALSE())*P36</f>
        <v>1.1999999999999999E-3</v>
      </c>
      <c r="S42" s="435"/>
      <c r="T42" s="302">
        <f>VLOOKUP(T33,Wok!A:M,12,FALSE())</f>
        <v>0</v>
      </c>
      <c r="U42" s="309"/>
      <c r="V42" s="309"/>
      <c r="W42" s="309"/>
      <c r="X42" s="542">
        <f>VLOOKUP(T33,Wok!A:M,13,FALSE())*V36</f>
        <v>0</v>
      </c>
      <c r="Y42" s="435"/>
      <c r="Z42" s="302">
        <f>VLOOKUP(Z33,Poele!A:M,12,FALSE())</f>
        <v>0</v>
      </c>
      <c r="AA42" s="309"/>
      <c r="AB42" s="309"/>
      <c r="AC42" s="309"/>
      <c r="AD42" s="542">
        <f>VLOOKUP(Z33,Poele!A:M,13,FALSE())*AB36</f>
        <v>0</v>
      </c>
      <c r="AE42" s="435"/>
      <c r="AF42" s="302" t="str">
        <f>VLOOKUP(AF33,Four!A:M,12,FALSE())</f>
        <v>Vin blc</v>
      </c>
      <c r="AG42" s="309"/>
      <c r="AH42" s="309"/>
      <c r="AI42" s="309"/>
      <c r="AJ42" s="542">
        <f>VLOOKUP(AF33,Four!A:M,13,FALSE())*AH36</f>
        <v>0.27</v>
      </c>
      <c r="AK42" s="435"/>
      <c r="AL42" s="302" t="str">
        <f>VLOOKUP(AL33,Four!A:M,12,FALSE())</f>
        <v>Tomates concassées</v>
      </c>
      <c r="AM42" s="309"/>
      <c r="AN42" s="309"/>
      <c r="AO42" s="309"/>
      <c r="AP42" s="542">
        <f>VLOOKUP(AL33,Four!A:M,13,FALSE())*AN36</f>
        <v>1.2869999999999999</v>
      </c>
      <c r="AQ42" s="435"/>
      <c r="AR42" s="310" t="s">
        <v>74</v>
      </c>
      <c r="AS42" s="82"/>
      <c r="AT42" s="78"/>
      <c r="AU42" s="78"/>
      <c r="AV42" s="529">
        <f>AT41</f>
        <v>7.5</v>
      </c>
      <c r="AW42" s="475"/>
      <c r="AX42" s="538" t="s">
        <v>75</v>
      </c>
      <c r="AY42" s="461"/>
      <c r="AZ42" s="461"/>
      <c r="BA42" s="311"/>
      <c r="BB42" s="529">
        <f>AZ41*(BB38/1000)</f>
        <v>2.6999999999999993</v>
      </c>
      <c r="BC42" s="475"/>
      <c r="BD42" s="543" t="s">
        <v>115</v>
      </c>
      <c r="BE42" s="461"/>
      <c r="BF42" s="461"/>
      <c r="BG42" s="311"/>
      <c r="BH42" s="529">
        <f>BF41</f>
        <v>6.3000000000000007</v>
      </c>
      <c r="BI42" s="503"/>
    </row>
    <row r="43" spans="1:61" ht="17.25" customHeight="1">
      <c r="A43" s="55">
        <f>A33+1</f>
        <v>45338</v>
      </c>
      <c r="B43" s="547" t="s">
        <v>8</v>
      </c>
      <c r="C43" s="432"/>
      <c r="D43" s="547" t="s">
        <v>9</v>
      </c>
      <c r="E43" s="432"/>
      <c r="F43" s="317" t="s">
        <v>10</v>
      </c>
      <c r="G43" s="318"/>
      <c r="H43" s="551" t="s">
        <v>149</v>
      </c>
      <c r="I43" s="552" t="s">
        <v>149</v>
      </c>
      <c r="J43" s="552" t="s">
        <v>149</v>
      </c>
      <c r="K43" s="552" t="s">
        <v>149</v>
      </c>
      <c r="L43" s="552" t="s">
        <v>149</v>
      </c>
      <c r="M43" s="553" t="s">
        <v>149</v>
      </c>
      <c r="N43" s="522" t="s">
        <v>197</v>
      </c>
      <c r="O43" s="431" t="s">
        <v>197</v>
      </c>
      <c r="P43" s="431" t="s">
        <v>197</v>
      </c>
      <c r="Q43" s="431" t="s">
        <v>197</v>
      </c>
      <c r="R43" s="431" t="s">
        <v>197</v>
      </c>
      <c r="S43" s="432" t="s">
        <v>197</v>
      </c>
      <c r="T43" s="523" t="s">
        <v>164</v>
      </c>
      <c r="U43" s="431" t="s">
        <v>164</v>
      </c>
      <c r="V43" s="431" t="s">
        <v>164</v>
      </c>
      <c r="W43" s="431" t="s">
        <v>164</v>
      </c>
      <c r="X43" s="431" t="s">
        <v>164</v>
      </c>
      <c r="Y43" s="432" t="s">
        <v>164</v>
      </c>
      <c r="Z43" s="523" t="s">
        <v>191</v>
      </c>
      <c r="AA43" s="431" t="s">
        <v>191</v>
      </c>
      <c r="AB43" s="431" t="s">
        <v>191</v>
      </c>
      <c r="AC43" s="431" t="s">
        <v>191</v>
      </c>
      <c r="AD43" s="431" t="s">
        <v>191</v>
      </c>
      <c r="AE43" s="432" t="s">
        <v>191</v>
      </c>
      <c r="AF43" s="519" t="s">
        <v>208</v>
      </c>
      <c r="AG43" s="431" t="s">
        <v>208</v>
      </c>
      <c r="AH43" s="431" t="s">
        <v>208</v>
      </c>
      <c r="AI43" s="431" t="s">
        <v>208</v>
      </c>
      <c r="AJ43" s="431" t="s">
        <v>208</v>
      </c>
      <c r="AK43" s="432" t="s">
        <v>208</v>
      </c>
      <c r="AL43" s="519" t="s">
        <v>299</v>
      </c>
      <c r="AM43" s="431" t="s">
        <v>299</v>
      </c>
      <c r="AN43" s="431" t="s">
        <v>299</v>
      </c>
      <c r="AO43" s="431" t="s">
        <v>299</v>
      </c>
      <c r="AP43" s="431" t="s">
        <v>299</v>
      </c>
      <c r="AQ43" s="432" t="s">
        <v>299</v>
      </c>
      <c r="AR43" s="481" t="s">
        <v>18</v>
      </c>
      <c r="AS43" s="431"/>
      <c r="AT43" s="431"/>
      <c r="AU43" s="431"/>
      <c r="AV43" s="431"/>
      <c r="AW43" s="432"/>
      <c r="AX43" s="482" t="s">
        <v>154</v>
      </c>
      <c r="AY43" s="434"/>
      <c r="AZ43" s="434"/>
      <c r="BA43" s="434"/>
      <c r="BB43" s="434"/>
      <c r="BC43" s="435"/>
      <c r="BD43" s="483" t="s">
        <v>155</v>
      </c>
      <c r="BE43" s="431"/>
      <c r="BF43" s="431"/>
      <c r="BG43" s="431"/>
      <c r="BH43" s="431"/>
      <c r="BI43" s="484"/>
    </row>
    <row r="44" spans="1:61" ht="17.25" customHeight="1">
      <c r="A44" s="269"/>
      <c r="B44" s="270" t="s">
        <v>22</v>
      </c>
      <c r="C44" s="271">
        <v>100</v>
      </c>
      <c r="D44" s="270" t="s">
        <v>22</v>
      </c>
      <c r="E44" s="272">
        <v>50</v>
      </c>
      <c r="F44" s="270" t="s">
        <v>22</v>
      </c>
      <c r="G44" s="56">
        <f t="shared" ref="G44:G45" si="4">+C44+E44</f>
        <v>150</v>
      </c>
      <c r="H44" s="276" t="s">
        <v>23</v>
      </c>
      <c r="I44" s="62">
        <v>0.05</v>
      </c>
      <c r="J44" s="63">
        <f>+I44*$C44*$F49</f>
        <v>3</v>
      </c>
      <c r="K44" s="276" t="s">
        <v>24</v>
      </c>
      <c r="L44" s="64">
        <v>3</v>
      </c>
      <c r="M44" s="277">
        <f>L44/($F52*$C45)</f>
        <v>5.1264524948735471E-2</v>
      </c>
      <c r="N44" s="273" t="s">
        <v>23</v>
      </c>
      <c r="O44" s="57">
        <v>0.01</v>
      </c>
      <c r="P44" s="58">
        <f>+O44*$C44*$F49</f>
        <v>0.6</v>
      </c>
      <c r="Q44" s="273" t="s">
        <v>24</v>
      </c>
      <c r="R44" s="84">
        <v>0.5</v>
      </c>
      <c r="S44" s="313">
        <f>R44/($F52*$C45)</f>
        <v>8.5440874914559112E-3</v>
      </c>
      <c r="T44" s="274" t="s">
        <v>23</v>
      </c>
      <c r="U44" s="60">
        <v>0.05</v>
      </c>
      <c r="V44" s="61">
        <f>+U44*$C44*$F49</f>
        <v>3</v>
      </c>
      <c r="W44" s="274" t="s">
        <v>24</v>
      </c>
      <c r="X44" s="59">
        <v>3</v>
      </c>
      <c r="Y44" s="275">
        <f>X44/($F52*$C45)</f>
        <v>5.1264524948735471E-2</v>
      </c>
      <c r="Z44" s="274" t="s">
        <v>23</v>
      </c>
      <c r="AA44" s="60">
        <v>0.03</v>
      </c>
      <c r="AB44" s="61">
        <f>+AA44*$C44*$F49</f>
        <v>1.7999999999999998</v>
      </c>
      <c r="AC44" s="274" t="s">
        <v>24</v>
      </c>
      <c r="AD44" s="59">
        <v>2</v>
      </c>
      <c r="AE44" s="275">
        <f>AD44/($F52*$C45)</f>
        <v>3.4176349965823645E-2</v>
      </c>
      <c r="AF44" s="274" t="s">
        <v>23</v>
      </c>
      <c r="AG44" s="60">
        <v>0.1</v>
      </c>
      <c r="AH44" s="61">
        <f>+AG44*$C44*$F49</f>
        <v>6</v>
      </c>
      <c r="AI44" s="274" t="s">
        <v>24</v>
      </c>
      <c r="AJ44" s="59">
        <v>6</v>
      </c>
      <c r="AK44" s="275">
        <f>AJ44/($F52*$C45)</f>
        <v>0.10252904989747094</v>
      </c>
      <c r="AL44" s="274" t="s">
        <v>23</v>
      </c>
      <c r="AM44" s="60">
        <v>0.05</v>
      </c>
      <c r="AN44" s="61">
        <f>+AM44*$C44*$F49</f>
        <v>3</v>
      </c>
      <c r="AO44" s="274" t="s">
        <v>24</v>
      </c>
      <c r="AP44" s="59">
        <v>3</v>
      </c>
      <c r="AQ44" s="275">
        <f>AP44/($F52*$C45)</f>
        <v>5.1264524948735471E-2</v>
      </c>
      <c r="AR44" s="276" t="s">
        <v>23</v>
      </c>
      <c r="AS44" s="62">
        <v>0.08</v>
      </c>
      <c r="AT44" s="63">
        <f>+AS44*$C44*$F49</f>
        <v>4.8</v>
      </c>
      <c r="AU44" s="276" t="s">
        <v>24</v>
      </c>
      <c r="AV44" s="64">
        <v>4</v>
      </c>
      <c r="AW44" s="277">
        <f>AV44/($F52*$C45)</f>
        <v>6.835269993164729E-2</v>
      </c>
      <c r="AX44" s="276" t="s">
        <v>23</v>
      </c>
      <c r="AY44" s="62">
        <v>0.43</v>
      </c>
      <c r="AZ44" s="63">
        <f>+AY44*$C44*$F49</f>
        <v>25.8</v>
      </c>
      <c r="BA44" s="276" t="s">
        <v>24</v>
      </c>
      <c r="BB44" s="64">
        <v>25</v>
      </c>
      <c r="BC44" s="277">
        <f>BB44/($F52*$C45)</f>
        <v>0.42720437457279559</v>
      </c>
      <c r="BD44" s="276" t="s">
        <v>23</v>
      </c>
      <c r="BE44" s="62">
        <v>0.02</v>
      </c>
      <c r="BF44" s="63">
        <f>+BE44*$C44*$F49</f>
        <v>1.2</v>
      </c>
      <c r="BG44" s="276" t="s">
        <v>24</v>
      </c>
      <c r="BH44" s="64">
        <v>1</v>
      </c>
      <c r="BI44" s="65">
        <f>BH44/($F52*$C45)</f>
        <v>1.7088174982911822E-2</v>
      </c>
    </row>
    <row r="45" spans="1:61" ht="17.25" customHeight="1">
      <c r="A45" s="278" t="s">
        <v>123</v>
      </c>
      <c r="B45" s="266" t="s">
        <v>26</v>
      </c>
      <c r="C45" s="66">
        <v>100</v>
      </c>
      <c r="D45" s="266" t="s">
        <v>26</v>
      </c>
      <c r="E45" s="67">
        <v>50</v>
      </c>
      <c r="F45" s="266" t="s">
        <v>26</v>
      </c>
      <c r="G45" s="279">
        <f t="shared" si="4"/>
        <v>150</v>
      </c>
      <c r="H45" s="70" t="s">
        <v>27</v>
      </c>
      <c r="I45" s="286">
        <v>0.03</v>
      </c>
      <c r="J45" s="287">
        <f>+I45*$E44*$F49</f>
        <v>0.89999999999999991</v>
      </c>
      <c r="K45" s="70" t="s">
        <v>28</v>
      </c>
      <c r="L45" s="288">
        <v>1</v>
      </c>
      <c r="M45" s="289">
        <f>L45/($F52*$E45)</f>
        <v>3.4176349965823645E-2</v>
      </c>
      <c r="N45" s="68" t="s">
        <v>27</v>
      </c>
      <c r="O45" s="280">
        <v>0.02</v>
      </c>
      <c r="P45" s="281">
        <f>+O45*$E44*$F49</f>
        <v>0.6</v>
      </c>
      <c r="Q45" s="68" t="s">
        <v>28</v>
      </c>
      <c r="R45" s="314">
        <v>0.5</v>
      </c>
      <c r="S45" s="315">
        <f>R45/($F52*$E45)</f>
        <v>1.7088174982911822E-2</v>
      </c>
      <c r="T45" s="69" t="s">
        <v>27</v>
      </c>
      <c r="U45" s="284">
        <v>0.03</v>
      </c>
      <c r="V45" s="285">
        <f>+U45*$E44*$F49</f>
        <v>0.89999999999999991</v>
      </c>
      <c r="W45" s="69" t="s">
        <v>28</v>
      </c>
      <c r="X45" s="282">
        <v>1</v>
      </c>
      <c r="Y45" s="283">
        <f>X45/($F52*$E45)</f>
        <v>3.4176349965823645E-2</v>
      </c>
      <c r="Z45" s="69" t="s">
        <v>27</v>
      </c>
      <c r="AA45" s="284">
        <v>0.03</v>
      </c>
      <c r="AB45" s="285">
        <f>+AA45*$E44*$F49</f>
        <v>0.89999999999999991</v>
      </c>
      <c r="AC45" s="69" t="s">
        <v>28</v>
      </c>
      <c r="AD45" s="282">
        <v>1</v>
      </c>
      <c r="AE45" s="283">
        <f>AD45/($F52*$E45)</f>
        <v>3.4176349965823645E-2</v>
      </c>
      <c r="AF45" s="69" t="s">
        <v>27</v>
      </c>
      <c r="AG45" s="284">
        <v>0.1</v>
      </c>
      <c r="AH45" s="285">
        <f>+AG45*$E44*$F49</f>
        <v>3</v>
      </c>
      <c r="AI45" s="69" t="s">
        <v>28</v>
      </c>
      <c r="AJ45" s="282">
        <v>3</v>
      </c>
      <c r="AK45" s="283">
        <f>AJ45/($F52*$E45)</f>
        <v>0.10252904989747094</v>
      </c>
      <c r="AL45" s="69" t="s">
        <v>27</v>
      </c>
      <c r="AM45" s="284">
        <v>0.03</v>
      </c>
      <c r="AN45" s="285">
        <f>+AM45*$E44*$F49</f>
        <v>0.89999999999999991</v>
      </c>
      <c r="AO45" s="69" t="s">
        <v>28</v>
      </c>
      <c r="AP45" s="282">
        <v>1</v>
      </c>
      <c r="AQ45" s="283">
        <f>AP45/($F52*$E45)</f>
        <v>3.4176349965823645E-2</v>
      </c>
      <c r="AR45" s="70" t="s">
        <v>27</v>
      </c>
      <c r="AS45" s="286">
        <v>0.09</v>
      </c>
      <c r="AT45" s="287">
        <f>+AS45*$E44*$F49</f>
        <v>2.6999999999999997</v>
      </c>
      <c r="AU45" s="70" t="s">
        <v>28</v>
      </c>
      <c r="AV45" s="288">
        <v>2</v>
      </c>
      <c r="AW45" s="289">
        <f>AV45/($F52*$E45)</f>
        <v>6.835269993164729E-2</v>
      </c>
      <c r="AX45" s="70" t="s">
        <v>27</v>
      </c>
      <c r="AY45" s="286">
        <v>0.34</v>
      </c>
      <c r="AZ45" s="287">
        <f>+AY45*$E44*$F49</f>
        <v>10.199999999999999</v>
      </c>
      <c r="BA45" s="70" t="s">
        <v>28</v>
      </c>
      <c r="BB45" s="288">
        <v>10</v>
      </c>
      <c r="BC45" s="289">
        <f>BB45/($F52*$E45)</f>
        <v>0.34176349965823649</v>
      </c>
      <c r="BD45" s="70" t="s">
        <v>27</v>
      </c>
      <c r="BE45" s="286">
        <v>0.02</v>
      </c>
      <c r="BF45" s="287">
        <f>+BE45*$E44*$F49</f>
        <v>0.6</v>
      </c>
      <c r="BG45" s="70" t="s">
        <v>28</v>
      </c>
      <c r="BH45" s="288">
        <v>0.5</v>
      </c>
      <c r="BI45" s="290">
        <f>BH45/($F52*$E45)</f>
        <v>1.7088174982911822E-2</v>
      </c>
    </row>
    <row r="46" spans="1:61" ht="17.25" customHeight="1">
      <c r="A46" s="291" t="s">
        <v>94</v>
      </c>
      <c r="B46" s="532" t="s">
        <v>30</v>
      </c>
      <c r="C46" s="454"/>
      <c r="D46" s="455"/>
      <c r="E46" s="533">
        <f>(I44+O44+U44+AA44+AG44+AM44+AS44+AY44+BE44+BE49+AY49+AS49+I49)/2</f>
        <v>0.53500000000000014</v>
      </c>
      <c r="F46" s="457"/>
      <c r="G46" s="534">
        <f>(E46+E47)</f>
        <v>1.0100000000000002</v>
      </c>
      <c r="H46" s="298" t="s">
        <v>31</v>
      </c>
      <c r="I46" s="299">
        <f>+J46/$G44</f>
        <v>2.5999999999999999E-2</v>
      </c>
      <c r="J46" s="74">
        <f>SUM(J44:J45)</f>
        <v>3.9</v>
      </c>
      <c r="K46" s="75" t="s">
        <v>31</v>
      </c>
      <c r="L46" s="300">
        <f>SUM(L44:L45)</f>
        <v>4</v>
      </c>
      <c r="M46" s="301">
        <f>L46/($F52*$G45)</f>
        <v>4.5568466621098203E-2</v>
      </c>
      <c r="N46" s="292" t="s">
        <v>31</v>
      </c>
      <c r="O46" s="293">
        <f>+P46/$G44</f>
        <v>8.0000000000000002E-3</v>
      </c>
      <c r="P46" s="71">
        <f>SUM(P44:P45)</f>
        <v>1.2</v>
      </c>
      <c r="Q46" s="85" t="s">
        <v>31</v>
      </c>
      <c r="R46" s="316">
        <f>SUM(R44:R45)</f>
        <v>1</v>
      </c>
      <c r="S46" s="295">
        <f>R46/($F52*$G45)</f>
        <v>1.1392116655274551E-2</v>
      </c>
      <c r="T46" s="296" t="s">
        <v>31</v>
      </c>
      <c r="U46" s="297">
        <f>+V46/$G44</f>
        <v>2.5999999999999999E-2</v>
      </c>
      <c r="V46" s="73">
        <f>SUM(V44:V45)</f>
        <v>3.9</v>
      </c>
      <c r="W46" s="72" t="s">
        <v>31</v>
      </c>
      <c r="X46" s="294">
        <f>SUM(X44:X45)</f>
        <v>4</v>
      </c>
      <c r="Y46" s="295">
        <f>X46/($F52*$G45)</f>
        <v>4.5568466621098203E-2</v>
      </c>
      <c r="Z46" s="296" t="s">
        <v>31</v>
      </c>
      <c r="AA46" s="297">
        <f>+AB46/$G44</f>
        <v>1.7999999999999999E-2</v>
      </c>
      <c r="AB46" s="73">
        <f>SUM(AB44:AB45)</f>
        <v>2.6999999999999997</v>
      </c>
      <c r="AC46" s="72" t="s">
        <v>31</v>
      </c>
      <c r="AD46" s="294">
        <f>SUM(AD44:AD45)</f>
        <v>3</v>
      </c>
      <c r="AE46" s="295">
        <f>AD46/($F52*$G45)</f>
        <v>3.4176349965823652E-2</v>
      </c>
      <c r="AF46" s="296" t="s">
        <v>31</v>
      </c>
      <c r="AG46" s="297">
        <f>+AH46/$G44</f>
        <v>0.06</v>
      </c>
      <c r="AH46" s="73">
        <f>SUM(AH44:AH45)</f>
        <v>9</v>
      </c>
      <c r="AI46" s="72" t="s">
        <v>31</v>
      </c>
      <c r="AJ46" s="294">
        <f>SUM(AJ44:AJ45)</f>
        <v>9</v>
      </c>
      <c r="AK46" s="295">
        <f>AJ46/($F52*$G45)</f>
        <v>0.10252904989747094</v>
      </c>
      <c r="AL46" s="296" t="s">
        <v>31</v>
      </c>
      <c r="AM46" s="297">
        <f>+AN46/$G44</f>
        <v>2.5999999999999999E-2</v>
      </c>
      <c r="AN46" s="73">
        <f>SUM(AN44:AN45)</f>
        <v>3.9</v>
      </c>
      <c r="AO46" s="72" t="s">
        <v>31</v>
      </c>
      <c r="AP46" s="294">
        <f>SUM(AP44:AP45)</f>
        <v>4</v>
      </c>
      <c r="AQ46" s="295">
        <f>AP46/($F52*$G45)</f>
        <v>4.5568466621098203E-2</v>
      </c>
      <c r="AR46" s="298" t="s">
        <v>31</v>
      </c>
      <c r="AS46" s="299">
        <f>+AT46/$G44</f>
        <v>0.05</v>
      </c>
      <c r="AT46" s="74">
        <f>SUM(AT44:AT45)</f>
        <v>7.5</v>
      </c>
      <c r="AU46" s="75" t="s">
        <v>31</v>
      </c>
      <c r="AV46" s="300">
        <f>SUM(AV44:AV45)</f>
        <v>6</v>
      </c>
      <c r="AW46" s="301">
        <f>AV46/($F52*$G45)</f>
        <v>6.8352699931647304E-2</v>
      </c>
      <c r="AX46" s="298" t="s">
        <v>31</v>
      </c>
      <c r="AY46" s="299">
        <f>+AZ46/$G44</f>
        <v>0.24</v>
      </c>
      <c r="AZ46" s="74">
        <f>SUM(AZ44:AZ45)</f>
        <v>36</v>
      </c>
      <c r="BA46" s="75" t="s">
        <v>31</v>
      </c>
      <c r="BB46" s="300">
        <f>SUM(BB44:BB45)</f>
        <v>35</v>
      </c>
      <c r="BC46" s="301">
        <f>BB46/($F52*$G45)</f>
        <v>0.39872408293460926</v>
      </c>
      <c r="BD46" s="298" t="s">
        <v>31</v>
      </c>
      <c r="BE46" s="299">
        <f>+BF46/$G44</f>
        <v>1.1999999999999999E-2</v>
      </c>
      <c r="BF46" s="74">
        <f>SUM(BF44:BF45)</f>
        <v>1.7999999999999998</v>
      </c>
      <c r="BG46" s="75" t="s">
        <v>31</v>
      </c>
      <c r="BH46" s="300">
        <f>SUM(BH44:BH45)</f>
        <v>1.5</v>
      </c>
      <c r="BI46" s="76">
        <f>BH46/($F52*$G45)</f>
        <v>1.7088174982911826E-2</v>
      </c>
    </row>
    <row r="47" spans="1:61" ht="17.25" customHeight="1">
      <c r="A47" s="86" t="s">
        <v>33</v>
      </c>
      <c r="B47" s="535" t="s">
        <v>34</v>
      </c>
      <c r="C47" s="461"/>
      <c r="D47" s="462"/>
      <c r="E47" s="536">
        <f>(I45+O45+U45+AA45+AG45+AM45+AS45+AY45+BE45+AS50+AY50+BE50+I50)/2</f>
        <v>0.47500000000000009</v>
      </c>
      <c r="F47" s="464"/>
      <c r="G47" s="459"/>
      <c r="H47" s="537" t="str">
        <f>VLOOKUP(H43,Plancha2!A:M,2,FALSE())</f>
        <v>Poisson</v>
      </c>
      <c r="I47" s="474"/>
      <c r="J47" s="474"/>
      <c r="K47" s="306"/>
      <c r="L47" s="529">
        <f>J46</f>
        <v>3.9</v>
      </c>
      <c r="M47" s="475"/>
      <c r="N47" s="304" t="str">
        <f>VLOOKUP(N43,Friteuse!A:M,2,FALSE())</f>
        <v>Aiguilette</v>
      </c>
      <c r="O47" s="305"/>
      <c r="P47" s="305"/>
      <c r="Q47" s="77"/>
      <c r="R47" s="529">
        <f>VLOOKUP(N43,Friteuse!A:M,3,FALSE())*P46</f>
        <v>1.032</v>
      </c>
      <c r="S47" s="475"/>
      <c r="T47" s="302" t="str">
        <f>VLOOKUP(T43,Wok!A:M,2,FALSE())</f>
        <v>Encornet</v>
      </c>
      <c r="U47" s="303"/>
      <c r="V47" s="303"/>
      <c r="W47" s="77"/>
      <c r="X47" s="529">
        <f>VLOOKUP(T43,Wok!A:M,3,FALSE())*V46</f>
        <v>0.97499999999999998</v>
      </c>
      <c r="Y47" s="475"/>
      <c r="Z47" s="302" t="str">
        <f>VLOOKUP(Z43,Poele!A:M,2,FALSE())</f>
        <v>Carotte</v>
      </c>
      <c r="AA47" s="303"/>
      <c r="AB47" s="303"/>
      <c r="AC47" s="77"/>
      <c r="AD47" s="529">
        <f>VLOOKUP(Z43,Poele!A:M,3,FALSE())*AB46</f>
        <v>1.6199999999999999</v>
      </c>
      <c r="AE47" s="475"/>
      <c r="AF47" s="302" t="str">
        <f>VLOOKUP(AF43,Four!A:M,2,FALSE())</f>
        <v>PDT</v>
      </c>
      <c r="AG47" s="303"/>
      <c r="AH47" s="303"/>
      <c r="AI47" s="77"/>
      <c r="AJ47" s="529">
        <f>VLOOKUP(AF43,Four!A:M,3,FALSE())*AH46</f>
        <v>4.5</v>
      </c>
      <c r="AK47" s="475"/>
      <c r="AL47" s="302" t="str">
        <f>VLOOKUP(AL43,Four!A:M,2,FALSE())</f>
        <v>Boeuf haché</v>
      </c>
      <c r="AM47" s="303"/>
      <c r="AN47" s="303"/>
      <c r="AO47" s="77"/>
      <c r="AP47" s="529">
        <f>VLOOKUP(AL43,Four!A:M,3,FALSE())*AN46</f>
        <v>1.0920000000000001</v>
      </c>
      <c r="AQ47" s="475"/>
      <c r="AR47" s="538" t="s">
        <v>42</v>
      </c>
      <c r="AS47" s="461"/>
      <c r="AT47" s="461"/>
      <c r="AU47" s="306"/>
      <c r="AV47" s="529">
        <f>AT46</f>
        <v>7.5</v>
      </c>
      <c r="AW47" s="475"/>
      <c r="AX47" s="528" t="s">
        <v>156</v>
      </c>
      <c r="AY47" s="471"/>
      <c r="AZ47" s="471"/>
      <c r="BA47" s="78"/>
      <c r="BB47" s="529">
        <f>AZ46</f>
        <v>36</v>
      </c>
      <c r="BC47" s="475"/>
      <c r="BD47" s="528" t="s">
        <v>157</v>
      </c>
      <c r="BE47" s="471"/>
      <c r="BF47" s="471"/>
      <c r="BG47" s="78"/>
      <c r="BH47" s="529">
        <f>BF46</f>
        <v>1.7999999999999998</v>
      </c>
      <c r="BI47" s="503"/>
    </row>
    <row r="48" spans="1:61" ht="17.25" customHeight="1">
      <c r="A48" s="86" t="s">
        <v>45</v>
      </c>
      <c r="B48" s="539" t="s">
        <v>46</v>
      </c>
      <c r="C48" s="445"/>
      <c r="D48" s="517"/>
      <c r="E48" s="540">
        <f>(L46+R46+X46+AD46+AJ46+AP46+AV46+BB46+BH46+BH51+(BB51*BB48/1000)+L51+AV51)/(G45*F52)</f>
        <v>1</v>
      </c>
      <c r="F48" s="474"/>
      <c r="G48" s="475"/>
      <c r="H48" s="551" t="s">
        <v>223</v>
      </c>
      <c r="I48" s="552" t="s">
        <v>223</v>
      </c>
      <c r="J48" s="552" t="s">
        <v>223</v>
      </c>
      <c r="K48" s="552" t="s">
        <v>223</v>
      </c>
      <c r="L48" s="552" t="s">
        <v>223</v>
      </c>
      <c r="M48" s="553" t="s">
        <v>223</v>
      </c>
      <c r="N48" s="304" t="str">
        <f>VLOOKUP(N43,Friteuse!A:M,4,FALSE())</f>
        <v>Creme</v>
      </c>
      <c r="O48" s="79"/>
      <c r="P48" s="79"/>
      <c r="Q48" s="79"/>
      <c r="R48" s="530">
        <f>VLOOKUP(N43,Friteuse!A:M,5,FALSE())*P46</f>
        <v>1.2E-2</v>
      </c>
      <c r="S48" s="475"/>
      <c r="T48" s="302" t="str">
        <f>VLOOKUP(T43,Wok!A:M,4,FALSE())</f>
        <v>Poivron R/V</v>
      </c>
      <c r="U48" s="77"/>
      <c r="V48" s="77"/>
      <c r="W48" s="77"/>
      <c r="X48" s="530">
        <f>VLOOKUP(T43,Wok!A:M,5,FALSE())*V46</f>
        <v>1.17</v>
      </c>
      <c r="Y48" s="475"/>
      <c r="Z48" s="302" t="str">
        <f>VLOOKUP(Z43,Poele!A:M,4,FALSE())</f>
        <v>Beurre</v>
      </c>
      <c r="AA48" s="77"/>
      <c r="AB48" s="77"/>
      <c r="AC48" s="77"/>
      <c r="AD48" s="530">
        <f>VLOOKUP(Z43,Poele!A:M,5,FALSE())*AB46</f>
        <v>4.0499999999999994E-2</v>
      </c>
      <c r="AE48" s="475"/>
      <c r="AF48" s="302" t="str">
        <f>VLOOKUP(AF43,Four!A:M,4,FALSE())</f>
        <v>Reblochon</v>
      </c>
      <c r="AG48" s="77"/>
      <c r="AH48" s="77"/>
      <c r="AI48" s="77"/>
      <c r="AJ48" s="530">
        <f>VLOOKUP(AF43,Four!A:M,5,FALSE())*AH46</f>
        <v>2.4300000000000002</v>
      </c>
      <c r="AK48" s="475"/>
      <c r="AL48" s="302" t="str">
        <f>VLOOKUP(AL43,Four!A:M,4,FALSE())</f>
        <v>Ecrasé pdt</v>
      </c>
      <c r="AM48" s="77"/>
      <c r="AN48" s="77"/>
      <c r="AO48" s="77"/>
      <c r="AP48" s="530">
        <f>VLOOKUP(AL43,Four!A:M,5,FALSE())*AN46</f>
        <v>2.262</v>
      </c>
      <c r="AQ48" s="475"/>
      <c r="AR48" s="481" t="s">
        <v>54</v>
      </c>
      <c r="AS48" s="431"/>
      <c r="AT48" s="431"/>
      <c r="AU48" s="431"/>
      <c r="AV48" s="431"/>
      <c r="AW48" s="432"/>
      <c r="AX48" s="481" t="s">
        <v>55</v>
      </c>
      <c r="AY48" s="431"/>
      <c r="AZ48" s="431"/>
      <c r="BA48" s="431"/>
      <c r="BB48" s="531">
        <v>60</v>
      </c>
      <c r="BC48" s="432"/>
      <c r="BD48" s="483" t="s">
        <v>285</v>
      </c>
      <c r="BE48" s="431"/>
      <c r="BF48" s="431"/>
      <c r="BG48" s="431"/>
      <c r="BH48" s="431"/>
      <c r="BI48" s="484"/>
    </row>
    <row r="49" spans="1:61" ht="17.25" customHeight="1">
      <c r="A49" s="86" t="s">
        <v>81</v>
      </c>
      <c r="B49" s="513" t="s">
        <v>158</v>
      </c>
      <c r="C49" s="445"/>
      <c r="D49" s="445"/>
      <c r="E49" s="445"/>
      <c r="F49" s="541">
        <v>0.6</v>
      </c>
      <c r="G49" s="446"/>
      <c r="H49" s="276" t="s">
        <v>23</v>
      </c>
      <c r="I49" s="62">
        <v>7.0000000000000007E-2</v>
      </c>
      <c r="J49" s="63">
        <f>+I49*$C44*$F$9</f>
        <v>4.2</v>
      </c>
      <c r="K49" s="276" t="s">
        <v>24</v>
      </c>
      <c r="L49" s="64">
        <v>4</v>
      </c>
      <c r="M49" s="277">
        <f>L49/($F52*$C45)</f>
        <v>6.835269993164729E-2</v>
      </c>
      <c r="N49" s="304" t="str">
        <f>VLOOKUP(N43,Friteuse!A:M,6,FALSE())</f>
        <v>Tandoori</v>
      </c>
      <c r="O49" s="79"/>
      <c r="P49" s="79"/>
      <c r="Q49" s="79"/>
      <c r="R49" s="530">
        <f>VLOOKUP(N43,Friteuse!A:M,7,FALSE())*P46</f>
        <v>1.7999999999999999E-2</v>
      </c>
      <c r="S49" s="475"/>
      <c r="T49" s="302" t="str">
        <f>VLOOKUP(T43,Wok!A:M,6,FALSE())</f>
        <v>Oignon</v>
      </c>
      <c r="U49" s="77"/>
      <c r="V49" s="77"/>
      <c r="W49" s="77"/>
      <c r="X49" s="530">
        <f>VLOOKUP(T43,Wok!A:M,7,FALSE())*V46</f>
        <v>0.70199999999999996</v>
      </c>
      <c r="Y49" s="475"/>
      <c r="Z49" s="302" t="str">
        <f>VLOOKUP(Z43,Poele!A:M,6,FALSE())</f>
        <v>Oignon</v>
      </c>
      <c r="AA49" s="77"/>
      <c r="AB49" s="77"/>
      <c r="AC49" s="77"/>
      <c r="AD49" s="530">
        <f>VLOOKUP(Z43,Poele!A:M,7,FALSE())*AB46</f>
        <v>0.53999999999999992</v>
      </c>
      <c r="AE49" s="475"/>
      <c r="AF49" s="302" t="str">
        <f>VLOOKUP(AF43,Four!A:M,6,FALSE())</f>
        <v>Lardons fumés</v>
      </c>
      <c r="AG49" s="77"/>
      <c r="AH49" s="77"/>
      <c r="AI49" s="77"/>
      <c r="AJ49" s="530">
        <f>VLOOKUP(AF43,Four!A:M,7,FALSE())*AH46</f>
        <v>0.9</v>
      </c>
      <c r="AK49" s="475"/>
      <c r="AL49" s="302" t="str">
        <f>VLOOKUP(AL43,Four!A:M,6,FALSE())</f>
        <v>Oignons</v>
      </c>
      <c r="AM49" s="77"/>
      <c r="AN49" s="77"/>
      <c r="AO49" s="77"/>
      <c r="AP49" s="530">
        <f>VLOOKUP(AL43,Four!A:M,7,FALSE())*AN46</f>
        <v>0.42899999999999999</v>
      </c>
      <c r="AQ49" s="475"/>
      <c r="AR49" s="276" t="s">
        <v>23</v>
      </c>
      <c r="AS49" s="62">
        <v>0.08</v>
      </c>
      <c r="AT49" s="63">
        <f>+AS49*$C44*$F$9</f>
        <v>4.8</v>
      </c>
      <c r="AU49" s="276" t="s">
        <v>24</v>
      </c>
      <c r="AV49" s="64">
        <v>4</v>
      </c>
      <c r="AW49" s="277">
        <f>AV49/($F52*$C45)</f>
        <v>6.835269993164729E-2</v>
      </c>
      <c r="AX49" s="307" t="s">
        <v>23</v>
      </c>
      <c r="AY49" s="62">
        <v>0.03</v>
      </c>
      <c r="AZ49" s="95">
        <f>AY49*C44*F49/(BB48/1000)</f>
        <v>29.999999999999996</v>
      </c>
      <c r="BA49" s="276" t="s">
        <v>24</v>
      </c>
      <c r="BB49" s="96">
        <v>25</v>
      </c>
      <c r="BC49" s="313">
        <f>(BB49*BB48/1000)/($F52*$C45)</f>
        <v>2.5632262474367735E-2</v>
      </c>
      <c r="BD49" s="276" t="s">
        <v>23</v>
      </c>
      <c r="BE49" s="62">
        <v>7.0000000000000007E-2</v>
      </c>
      <c r="BF49" s="63">
        <f>+BE49*$C44*$F$9</f>
        <v>4.2</v>
      </c>
      <c r="BG49" s="276" t="s">
        <v>24</v>
      </c>
      <c r="BH49" s="64">
        <v>4</v>
      </c>
      <c r="BI49" s="65">
        <f>BH49/($F52*$C45)</f>
        <v>6.835269993164729E-2</v>
      </c>
    </row>
    <row r="50" spans="1:61" ht="17.25" customHeight="1">
      <c r="A50" s="86" t="s">
        <v>94</v>
      </c>
      <c r="B50" s="544" t="s">
        <v>178</v>
      </c>
      <c r="C50" s="445"/>
      <c r="D50" s="445"/>
      <c r="E50" s="446"/>
      <c r="F50" s="319">
        <f>(L44+R44+L49+X44+AD44+AJ44+AP44+AV44+AV49+BB44+BB49*(BB48/1000)+BH44+BH49)/C45</f>
        <v>0.61</v>
      </c>
      <c r="G50" s="320">
        <f>F50/(F50+F51)</f>
        <v>0.5324720670391061</v>
      </c>
      <c r="H50" s="70" t="s">
        <v>27</v>
      </c>
      <c r="I50" s="286">
        <v>7.0000000000000007E-2</v>
      </c>
      <c r="J50" s="287">
        <f>+I50*$E44*$F49</f>
        <v>2.1</v>
      </c>
      <c r="K50" s="70" t="s">
        <v>28</v>
      </c>
      <c r="L50" s="288">
        <v>2</v>
      </c>
      <c r="M50" s="289">
        <f>L50/($F52*$E45)</f>
        <v>6.835269993164729E-2</v>
      </c>
      <c r="N50" s="304" t="str">
        <f>VLOOKUP(N43,Friteuse!A:M,8,FALSE())</f>
        <v>Sel</v>
      </c>
      <c r="O50" s="79"/>
      <c r="P50" s="79"/>
      <c r="Q50" s="79"/>
      <c r="R50" s="530">
        <f>VLOOKUP(N43,Friteuse!A:M,9,FALSE())*P46</f>
        <v>1.7999999999999999E-2</v>
      </c>
      <c r="S50" s="475"/>
      <c r="T50" s="302" t="str">
        <f>VLOOKUP(T43,Wok!A:M,8,FALSE())</f>
        <v>Nouille</v>
      </c>
      <c r="U50" s="77"/>
      <c r="V50" s="77"/>
      <c r="W50" s="77"/>
      <c r="X50" s="530">
        <f>VLOOKUP(T43,Wok!A:M,9,FALSE())*V46</f>
        <v>0.78</v>
      </c>
      <c r="Y50" s="475"/>
      <c r="Z50" s="302" t="str">
        <f>VLOOKUP(Z43,Poele!A:M,8,FALSE())</f>
        <v>Bouillon volaille</v>
      </c>
      <c r="AA50" s="77"/>
      <c r="AB50" s="77"/>
      <c r="AC50" s="77"/>
      <c r="AD50" s="530">
        <f>VLOOKUP(Z43,Poele!A:M,9,FALSE())*AB46</f>
        <v>0.20249999999999999</v>
      </c>
      <c r="AE50" s="475"/>
      <c r="AF50" s="302" t="str">
        <f>VLOOKUP(AF43,Four!A:M,8,FALSE())</f>
        <v>Oignons</v>
      </c>
      <c r="AG50" s="77"/>
      <c r="AH50" s="77"/>
      <c r="AI50" s="77"/>
      <c r="AJ50" s="530">
        <f>VLOOKUP(AF43,Four!A:M,9,FALSE())*AH46</f>
        <v>0.45</v>
      </c>
      <c r="AK50" s="475"/>
      <c r="AL50" s="302" t="str">
        <f>VLOOKUP(AL43,Four!A:M,8,FALSE())</f>
        <v>Chapelure</v>
      </c>
      <c r="AM50" s="77"/>
      <c r="AN50" s="77"/>
      <c r="AO50" s="77"/>
      <c r="AP50" s="530">
        <f>VLOOKUP(AL43,Four!A:M,9,FALSE())*AN46</f>
        <v>0.11699999999999999</v>
      </c>
      <c r="AQ50" s="475"/>
      <c r="AR50" s="70" t="s">
        <v>27</v>
      </c>
      <c r="AS50" s="286">
        <v>0.09</v>
      </c>
      <c r="AT50" s="287">
        <f>+AS50*$E44*$F49</f>
        <v>2.6999999999999997</v>
      </c>
      <c r="AU50" s="70" t="s">
        <v>28</v>
      </c>
      <c r="AV50" s="288">
        <v>2</v>
      </c>
      <c r="AW50" s="289">
        <f>AV50/($F52*$E45)</f>
        <v>6.835269993164729E-2</v>
      </c>
      <c r="AX50" s="80" t="s">
        <v>27</v>
      </c>
      <c r="AY50" s="286">
        <v>0.03</v>
      </c>
      <c r="AZ50" s="321">
        <f>AY50*E44*F49/(BB48/1000)</f>
        <v>14.999999999999998</v>
      </c>
      <c r="BA50" s="70" t="s">
        <v>28</v>
      </c>
      <c r="BB50" s="322">
        <v>13</v>
      </c>
      <c r="BC50" s="315">
        <f>(BB50*BB48/1000)/($F52*$E45)</f>
        <v>2.6657552973342446E-2</v>
      </c>
      <c r="BD50" s="70" t="s">
        <v>27</v>
      </c>
      <c r="BE50" s="286">
        <v>7.0000000000000007E-2</v>
      </c>
      <c r="BF50" s="287">
        <f>+BE50*$E44*$F49</f>
        <v>2.1</v>
      </c>
      <c r="BG50" s="70" t="s">
        <v>28</v>
      </c>
      <c r="BH50" s="288">
        <v>2</v>
      </c>
      <c r="BI50" s="290">
        <f>BH50/($F52*$E45)</f>
        <v>6.835269993164729E-2</v>
      </c>
    </row>
    <row r="51" spans="1:61" ht="17.25" customHeight="1">
      <c r="A51" s="86" t="s">
        <v>45</v>
      </c>
      <c r="B51" s="447"/>
      <c r="C51" s="434"/>
      <c r="D51" s="434"/>
      <c r="E51" s="435"/>
      <c r="F51" s="323">
        <f>(L45+L50+R45+X45+AD45+AJ45+AP45+AV45+AV50+BB45+BB50*(BB48/1000)+BH50+BH45)/E45</f>
        <v>0.53560000000000008</v>
      </c>
      <c r="G51" s="324">
        <f>F51/(F50+F51)</f>
        <v>0.46752793296089395</v>
      </c>
      <c r="H51" s="298" t="s">
        <v>31</v>
      </c>
      <c r="I51" s="299">
        <f>+J51/$G44</f>
        <v>4.2000000000000003E-2</v>
      </c>
      <c r="J51" s="74">
        <f>SUM(J49:J50)</f>
        <v>6.3000000000000007</v>
      </c>
      <c r="K51" s="75" t="s">
        <v>31</v>
      </c>
      <c r="L51" s="300">
        <f>SUM(L49:L50)</f>
        <v>6</v>
      </c>
      <c r="M51" s="301">
        <f>L51/($F52*$G45)</f>
        <v>6.8352699931647304E-2</v>
      </c>
      <c r="N51" s="304" t="str">
        <f>VLOOKUP(N43,Friteuse!A:M,10,FALSE())</f>
        <v>Panko</v>
      </c>
      <c r="O51" s="78"/>
      <c r="P51" s="78"/>
      <c r="Q51" s="78"/>
      <c r="R51" s="530">
        <f>VLOOKUP(N43,Friteuse!A:M,11,FALSE())*P46</f>
        <v>0.12</v>
      </c>
      <c r="S51" s="475"/>
      <c r="T51" s="302" t="str">
        <f>VLOOKUP(T43,Wok!A:M,10,FALSE())</f>
        <v>Sel / Epice thai</v>
      </c>
      <c r="U51" s="81"/>
      <c r="V51" s="81"/>
      <c r="W51" s="81"/>
      <c r="X51" s="530">
        <f>VLOOKUP(T43,Wok!A:M,11,FALSE())*V46</f>
        <v>0.19500000000000001</v>
      </c>
      <c r="Y51" s="475"/>
      <c r="Z51" s="302" t="str">
        <f>VLOOKUP(Z43,Poele!A:M,10,FALSE())</f>
        <v>Sel</v>
      </c>
      <c r="AA51" s="81"/>
      <c r="AB51" s="81"/>
      <c r="AC51" s="81"/>
      <c r="AD51" s="530">
        <f>VLOOKUP(Z43,Poele!A:M,11,FALSE())*AB46</f>
        <v>2.6999999999999996E-2</v>
      </c>
      <c r="AE51" s="475"/>
      <c r="AF51" s="302" t="str">
        <f>VLOOKUP(AF43,Four!A:M,10,FALSE())</f>
        <v>Crème épaisse</v>
      </c>
      <c r="AG51" s="81"/>
      <c r="AH51" s="81"/>
      <c r="AI51" s="81"/>
      <c r="AJ51" s="530">
        <f>VLOOKUP(AF43,Four!A:M,11,FALSE())*AH46</f>
        <v>0.45</v>
      </c>
      <c r="AK51" s="475"/>
      <c r="AL51" s="302">
        <f>VLOOKUP(AL43,Four!A:M,10,FALSE())</f>
        <v>0</v>
      </c>
      <c r="AM51" s="81"/>
      <c r="AN51" s="81"/>
      <c r="AO51" s="81"/>
      <c r="AP51" s="530">
        <f>VLOOKUP(AL43,Four!A:M,11,FALSE())*AN46</f>
        <v>0</v>
      </c>
      <c r="AQ51" s="475"/>
      <c r="AR51" s="298" t="s">
        <v>31</v>
      </c>
      <c r="AS51" s="299">
        <f>+AT51/$G44</f>
        <v>0.05</v>
      </c>
      <c r="AT51" s="74">
        <f>SUM(AT49:AT50)</f>
        <v>7.5</v>
      </c>
      <c r="AU51" s="75" t="s">
        <v>31</v>
      </c>
      <c r="AV51" s="300">
        <f>SUM(AV49:AV50)</f>
        <v>6</v>
      </c>
      <c r="AW51" s="301">
        <f>AV51/($F52*$G45)</f>
        <v>6.8352699931647304E-2</v>
      </c>
      <c r="AX51" s="308" t="s">
        <v>31</v>
      </c>
      <c r="AY51" s="299"/>
      <c r="AZ51" s="97">
        <f>SUM(AZ49:AZ50)</f>
        <v>44.999999999999993</v>
      </c>
      <c r="BA51" s="75" t="s">
        <v>31</v>
      </c>
      <c r="BB51" s="325">
        <f>SUM(BB49:BB50)</f>
        <v>38</v>
      </c>
      <c r="BC51" s="295">
        <f>(BB51*BB48/1000)/($F52*$G45)</f>
        <v>2.5974025974025972E-2</v>
      </c>
      <c r="BD51" s="298" t="s">
        <v>31</v>
      </c>
      <c r="BE51" s="299">
        <f>+BF51/$G44</f>
        <v>4.2000000000000003E-2</v>
      </c>
      <c r="BF51" s="74">
        <f>SUM(BF49:BF50)</f>
        <v>6.3000000000000007</v>
      </c>
      <c r="BG51" s="75" t="s">
        <v>31</v>
      </c>
      <c r="BH51" s="300">
        <f>SUM(BH49:BH50)</f>
        <v>6</v>
      </c>
      <c r="BI51" s="76">
        <f>BH51/($F52*$G45)</f>
        <v>6.8352699931647304E-2</v>
      </c>
    </row>
    <row r="52" spans="1:61" ht="17.25" customHeight="1">
      <c r="A52" s="86" t="s">
        <v>56</v>
      </c>
      <c r="B52" s="545" t="s">
        <v>159</v>
      </c>
      <c r="C52" s="431"/>
      <c r="D52" s="431"/>
      <c r="E52" s="432"/>
      <c r="F52" s="546">
        <f>(L46+L51+R46+X46+AD46+AJ46+AP46+AV46+AV51+BB51*BB48/1000+BB46+BH46+BH51)/G45</f>
        <v>0.58520000000000005</v>
      </c>
      <c r="G52" s="435"/>
      <c r="H52" s="302" t="str">
        <f>VLOOKUP(H48,Plancha2!A:M,2,FALSE())</f>
        <v>Ingr1</v>
      </c>
      <c r="I52" s="82"/>
      <c r="J52" s="78"/>
      <c r="K52" s="78"/>
      <c r="L52" s="529">
        <f>J51</f>
        <v>6.3000000000000007</v>
      </c>
      <c r="M52" s="475"/>
      <c r="N52" s="304">
        <f>VLOOKUP(N43,Friteuse!A:M,12,FALSE())</f>
        <v>0</v>
      </c>
      <c r="O52" s="306"/>
      <c r="P52" s="306"/>
      <c r="Q52" s="306"/>
      <c r="R52" s="542">
        <f>VLOOKUP(N43,Friteuse!A:M,13,FALSE())*P46</f>
        <v>0</v>
      </c>
      <c r="S52" s="435"/>
      <c r="T52" s="302" t="str">
        <f>VLOOKUP(T43,Wok!A:M,12,FALSE())</f>
        <v>Citron</v>
      </c>
      <c r="U52" s="309"/>
      <c r="V52" s="309"/>
      <c r="W52" s="309"/>
      <c r="X52" s="542">
        <f>VLOOKUP(T43,Wok!A:M,13,FALSE())*V46</f>
        <v>7.8E-2</v>
      </c>
      <c r="Y52" s="435"/>
      <c r="Z52" s="302" t="str">
        <f>VLOOKUP(Z43,Poele!A:M,12,FALSE())</f>
        <v>Eau</v>
      </c>
      <c r="AA52" s="309"/>
      <c r="AB52" s="309"/>
      <c r="AC52" s="309"/>
      <c r="AD52" s="542">
        <f>VLOOKUP(Z43,Poele!A:M,13,FALSE())*AB46</f>
        <v>0.26999999999999996</v>
      </c>
      <c r="AE52" s="435"/>
      <c r="AF52" s="302" t="str">
        <f>VLOOKUP(AF43,Four!A:M,12,FALSE())</f>
        <v>Vin blc</v>
      </c>
      <c r="AG52" s="309"/>
      <c r="AH52" s="309"/>
      <c r="AI52" s="309"/>
      <c r="AJ52" s="542">
        <f>VLOOKUP(AF43,Four!A:M,13,FALSE())*AH46</f>
        <v>0.27</v>
      </c>
      <c r="AK52" s="435"/>
      <c r="AL52" s="302">
        <f>VLOOKUP(AL43,Four!A:M,12,FALSE())</f>
        <v>0</v>
      </c>
      <c r="AM52" s="309"/>
      <c r="AN52" s="309"/>
      <c r="AO52" s="309"/>
      <c r="AP52" s="542">
        <f>VLOOKUP(AL43,Four!A:M,13,FALSE())*AN46</f>
        <v>0</v>
      </c>
      <c r="AQ52" s="435"/>
      <c r="AR52" s="310" t="s">
        <v>74</v>
      </c>
      <c r="AS52" s="82"/>
      <c r="AT52" s="78"/>
      <c r="AU52" s="78"/>
      <c r="AV52" s="529">
        <f>AT51</f>
        <v>7.5</v>
      </c>
      <c r="AW52" s="475"/>
      <c r="AX52" s="538" t="s">
        <v>75</v>
      </c>
      <c r="AY52" s="461"/>
      <c r="AZ52" s="461"/>
      <c r="BA52" s="311"/>
      <c r="BB52" s="529">
        <f>AZ51*(BB48/1000)</f>
        <v>2.6999999999999993</v>
      </c>
      <c r="BC52" s="475"/>
      <c r="BD52" s="543" t="s">
        <v>115</v>
      </c>
      <c r="BE52" s="461"/>
      <c r="BF52" s="461"/>
      <c r="BG52" s="311"/>
      <c r="BH52" s="529">
        <f>BF51</f>
        <v>6.3000000000000007</v>
      </c>
      <c r="BI52" s="503"/>
    </row>
    <row r="53" spans="1:61" ht="17.25" customHeight="1">
      <c r="A53" s="55">
        <f>A43+1</f>
        <v>45339</v>
      </c>
      <c r="B53" s="547" t="s">
        <v>8</v>
      </c>
      <c r="C53" s="432"/>
      <c r="D53" s="547" t="s">
        <v>9</v>
      </c>
      <c r="E53" s="432"/>
      <c r="F53" s="317" t="s">
        <v>10</v>
      </c>
      <c r="G53" s="318"/>
      <c r="H53" s="551" t="s">
        <v>184</v>
      </c>
      <c r="I53" s="552" t="s">
        <v>184</v>
      </c>
      <c r="J53" s="552" t="s">
        <v>184</v>
      </c>
      <c r="K53" s="552" t="s">
        <v>184</v>
      </c>
      <c r="L53" s="552" t="s">
        <v>184</v>
      </c>
      <c r="M53" s="553" t="s">
        <v>184</v>
      </c>
      <c r="N53" s="522" t="s">
        <v>197</v>
      </c>
      <c r="O53" s="431"/>
      <c r="P53" s="431"/>
      <c r="Q53" s="431"/>
      <c r="R53" s="431"/>
      <c r="S53" s="432"/>
      <c r="T53" s="554" t="s">
        <v>195</v>
      </c>
      <c r="U53" s="555" t="s">
        <v>195</v>
      </c>
      <c r="V53" s="555" t="s">
        <v>195</v>
      </c>
      <c r="W53" s="555" t="s">
        <v>195</v>
      </c>
      <c r="X53" s="555" t="s">
        <v>195</v>
      </c>
      <c r="Y53" s="556" t="s">
        <v>195</v>
      </c>
      <c r="Z53" s="523" t="s">
        <v>218</v>
      </c>
      <c r="AA53" s="431" t="s">
        <v>218</v>
      </c>
      <c r="AB53" s="431" t="s">
        <v>218</v>
      </c>
      <c r="AC53" s="431" t="s">
        <v>218</v>
      </c>
      <c r="AD53" s="431" t="s">
        <v>218</v>
      </c>
      <c r="AE53" s="432" t="s">
        <v>218</v>
      </c>
      <c r="AF53" s="519" t="s">
        <v>253</v>
      </c>
      <c r="AG53" s="431" t="s">
        <v>253</v>
      </c>
      <c r="AH53" s="431" t="s">
        <v>253</v>
      </c>
      <c r="AI53" s="431" t="s">
        <v>253</v>
      </c>
      <c r="AJ53" s="431" t="s">
        <v>253</v>
      </c>
      <c r="AK53" s="432" t="s">
        <v>253</v>
      </c>
      <c r="AL53" s="519" t="s">
        <v>300</v>
      </c>
      <c r="AM53" s="431" t="s">
        <v>300</v>
      </c>
      <c r="AN53" s="431" t="s">
        <v>300</v>
      </c>
      <c r="AO53" s="431" t="s">
        <v>300</v>
      </c>
      <c r="AP53" s="431" t="s">
        <v>300</v>
      </c>
      <c r="AQ53" s="432" t="s">
        <v>300</v>
      </c>
      <c r="AR53" s="481" t="s">
        <v>18</v>
      </c>
      <c r="AS53" s="431"/>
      <c r="AT53" s="431"/>
      <c r="AU53" s="431"/>
      <c r="AV53" s="431"/>
      <c r="AW53" s="432"/>
      <c r="AX53" s="482" t="s">
        <v>154</v>
      </c>
      <c r="AY53" s="434"/>
      <c r="AZ53" s="434"/>
      <c r="BA53" s="434"/>
      <c r="BB53" s="434"/>
      <c r="BC53" s="435"/>
      <c r="BD53" s="483" t="s">
        <v>155</v>
      </c>
      <c r="BE53" s="431"/>
      <c r="BF53" s="431"/>
      <c r="BG53" s="431"/>
      <c r="BH53" s="431"/>
      <c r="BI53" s="484"/>
    </row>
    <row r="54" spans="1:61" ht="17.25" customHeight="1">
      <c r="A54" s="326"/>
      <c r="B54" s="270" t="s">
        <v>22</v>
      </c>
      <c r="C54" s="271">
        <v>100</v>
      </c>
      <c r="D54" s="270" t="s">
        <v>22</v>
      </c>
      <c r="E54" s="272">
        <v>50</v>
      </c>
      <c r="F54" s="270" t="s">
        <v>22</v>
      </c>
      <c r="G54" s="56">
        <f t="shared" ref="G54:G55" si="5">+C54+E54</f>
        <v>150</v>
      </c>
      <c r="H54" s="276" t="s">
        <v>23</v>
      </c>
      <c r="I54" s="62">
        <v>0.05</v>
      </c>
      <c r="J54" s="63">
        <f>+I54*$C54*$F59</f>
        <v>3</v>
      </c>
      <c r="K54" s="276" t="s">
        <v>24</v>
      </c>
      <c r="L54" s="64">
        <v>3</v>
      </c>
      <c r="M54" s="277">
        <f>L54/($F62*$C55)</f>
        <v>5.1264524948735471E-2</v>
      </c>
      <c r="N54" s="273" t="s">
        <v>23</v>
      </c>
      <c r="O54" s="57">
        <v>0.01</v>
      </c>
      <c r="P54" s="58">
        <f>+O54*$C54*$F59</f>
        <v>0.6</v>
      </c>
      <c r="Q54" s="273" t="s">
        <v>24</v>
      </c>
      <c r="R54" s="84">
        <v>0.5</v>
      </c>
      <c r="S54" s="313">
        <f>R54/($F62*$C55)</f>
        <v>8.5440874914559112E-3</v>
      </c>
      <c r="T54" s="274" t="s">
        <v>23</v>
      </c>
      <c r="U54" s="60">
        <v>0.05</v>
      </c>
      <c r="V54" s="61">
        <f>+U54*$C54*$F59</f>
        <v>3</v>
      </c>
      <c r="W54" s="274" t="s">
        <v>24</v>
      </c>
      <c r="X54" s="59">
        <v>3</v>
      </c>
      <c r="Y54" s="275">
        <f>X54/($F62*$C55)</f>
        <v>5.1264524948735471E-2</v>
      </c>
      <c r="Z54" s="274" t="s">
        <v>23</v>
      </c>
      <c r="AA54" s="60">
        <v>0.03</v>
      </c>
      <c r="AB54" s="61">
        <f>+AA54*$C54*$F59</f>
        <v>1.7999999999999998</v>
      </c>
      <c r="AC54" s="274" t="s">
        <v>24</v>
      </c>
      <c r="AD54" s="59">
        <v>2</v>
      </c>
      <c r="AE54" s="275">
        <f>AD54/($F62*$C55)</f>
        <v>3.4176349965823645E-2</v>
      </c>
      <c r="AF54" s="274" t="s">
        <v>23</v>
      </c>
      <c r="AG54" s="60">
        <v>0.1</v>
      </c>
      <c r="AH54" s="61">
        <f>+AG54*$C54*$F59</f>
        <v>6</v>
      </c>
      <c r="AI54" s="274" t="s">
        <v>24</v>
      </c>
      <c r="AJ54" s="59">
        <v>6</v>
      </c>
      <c r="AK54" s="275">
        <f>AJ54/($F62*$C55)</f>
        <v>0.10252904989747094</v>
      </c>
      <c r="AL54" s="274" t="s">
        <v>23</v>
      </c>
      <c r="AM54" s="60">
        <v>0.05</v>
      </c>
      <c r="AN54" s="61">
        <f>+AM54*$C54*$F59</f>
        <v>3</v>
      </c>
      <c r="AO54" s="274" t="s">
        <v>24</v>
      </c>
      <c r="AP54" s="59">
        <v>3</v>
      </c>
      <c r="AQ54" s="275">
        <f>AP54/($F62*$C55)</f>
        <v>5.1264524948735471E-2</v>
      </c>
      <c r="AR54" s="276" t="s">
        <v>23</v>
      </c>
      <c r="AS54" s="62">
        <v>0.08</v>
      </c>
      <c r="AT54" s="63">
        <f>+AS54*$C54*$F59</f>
        <v>4.8</v>
      </c>
      <c r="AU54" s="276" t="s">
        <v>24</v>
      </c>
      <c r="AV54" s="64">
        <v>4</v>
      </c>
      <c r="AW54" s="277">
        <f>AV54/($F62*$C55)</f>
        <v>6.835269993164729E-2</v>
      </c>
      <c r="AX54" s="276" t="s">
        <v>23</v>
      </c>
      <c r="AY54" s="62">
        <v>0.43</v>
      </c>
      <c r="AZ54" s="63">
        <f>+AY54*$C54*$F59</f>
        <v>25.8</v>
      </c>
      <c r="BA54" s="276" t="s">
        <v>24</v>
      </c>
      <c r="BB54" s="64">
        <v>25</v>
      </c>
      <c r="BC54" s="277">
        <f>BB54/($F62*$C55)</f>
        <v>0.42720437457279559</v>
      </c>
      <c r="BD54" s="276" t="s">
        <v>23</v>
      </c>
      <c r="BE54" s="62">
        <v>0.02</v>
      </c>
      <c r="BF54" s="63">
        <f>+BE54*$C54*$F59</f>
        <v>1.2</v>
      </c>
      <c r="BG54" s="276" t="s">
        <v>24</v>
      </c>
      <c r="BH54" s="64">
        <v>1</v>
      </c>
      <c r="BI54" s="65">
        <f>BH54/($F62*$C55)</f>
        <v>1.7088174982911822E-2</v>
      </c>
    </row>
    <row r="55" spans="1:61" ht="17.25" customHeight="1">
      <c r="A55" s="327" t="s">
        <v>133</v>
      </c>
      <c r="B55" s="266" t="s">
        <v>26</v>
      </c>
      <c r="C55" s="66">
        <v>100</v>
      </c>
      <c r="D55" s="266" t="s">
        <v>26</v>
      </c>
      <c r="E55" s="67">
        <v>50</v>
      </c>
      <c r="F55" s="266" t="s">
        <v>26</v>
      </c>
      <c r="G55" s="279">
        <f t="shared" si="5"/>
        <v>150</v>
      </c>
      <c r="H55" s="70" t="s">
        <v>27</v>
      </c>
      <c r="I55" s="286">
        <v>0.03</v>
      </c>
      <c r="J55" s="287">
        <f>+I55*$E54*$F59</f>
        <v>0.89999999999999991</v>
      </c>
      <c r="K55" s="70" t="s">
        <v>28</v>
      </c>
      <c r="L55" s="288">
        <v>1</v>
      </c>
      <c r="M55" s="289">
        <f>L55/($F62*$E55)</f>
        <v>3.4176349965823645E-2</v>
      </c>
      <c r="N55" s="68" t="s">
        <v>27</v>
      </c>
      <c r="O55" s="280">
        <v>0.02</v>
      </c>
      <c r="P55" s="281">
        <f>+O55*$E54*$F59</f>
        <v>0.6</v>
      </c>
      <c r="Q55" s="68" t="s">
        <v>28</v>
      </c>
      <c r="R55" s="314">
        <v>0.5</v>
      </c>
      <c r="S55" s="315">
        <f>R55/($F62*$E55)</f>
        <v>1.7088174982911822E-2</v>
      </c>
      <c r="T55" s="69" t="s">
        <v>27</v>
      </c>
      <c r="U55" s="284">
        <v>0.03</v>
      </c>
      <c r="V55" s="285">
        <f>+U55*$E54*$F59</f>
        <v>0.89999999999999991</v>
      </c>
      <c r="W55" s="69" t="s">
        <v>28</v>
      </c>
      <c r="X55" s="282">
        <v>1</v>
      </c>
      <c r="Y55" s="283">
        <f>X55/($F62*$E55)</f>
        <v>3.4176349965823645E-2</v>
      </c>
      <c r="Z55" s="69" t="s">
        <v>27</v>
      </c>
      <c r="AA55" s="284">
        <v>0.03</v>
      </c>
      <c r="AB55" s="285">
        <f>+AA55*$E54*$F59</f>
        <v>0.89999999999999991</v>
      </c>
      <c r="AC55" s="69" t="s">
        <v>28</v>
      </c>
      <c r="AD55" s="282">
        <v>1</v>
      </c>
      <c r="AE55" s="283">
        <f>AD55/($F62*$E55)</f>
        <v>3.4176349965823645E-2</v>
      </c>
      <c r="AF55" s="69" t="s">
        <v>27</v>
      </c>
      <c r="AG55" s="284">
        <v>0.1</v>
      </c>
      <c r="AH55" s="285">
        <f>+AG55*$E54*$F59</f>
        <v>3</v>
      </c>
      <c r="AI55" s="69" t="s">
        <v>28</v>
      </c>
      <c r="AJ55" s="282">
        <v>3</v>
      </c>
      <c r="AK55" s="283">
        <f>AJ55/($F62*$E55)</f>
        <v>0.10252904989747094</v>
      </c>
      <c r="AL55" s="69" t="s">
        <v>27</v>
      </c>
      <c r="AM55" s="284">
        <v>0.03</v>
      </c>
      <c r="AN55" s="285">
        <f>+AM55*$E54*$F59</f>
        <v>0.89999999999999991</v>
      </c>
      <c r="AO55" s="69" t="s">
        <v>28</v>
      </c>
      <c r="AP55" s="282">
        <v>1</v>
      </c>
      <c r="AQ55" s="283">
        <f>AP55/($F62*$E55)</f>
        <v>3.4176349965823645E-2</v>
      </c>
      <c r="AR55" s="70" t="s">
        <v>27</v>
      </c>
      <c r="AS55" s="286">
        <v>0.09</v>
      </c>
      <c r="AT55" s="287">
        <f>+AS55*$E54*$F59</f>
        <v>2.6999999999999997</v>
      </c>
      <c r="AU55" s="70" t="s">
        <v>28</v>
      </c>
      <c r="AV55" s="288">
        <v>2</v>
      </c>
      <c r="AW55" s="289">
        <f>AV55/($F62*$E55)</f>
        <v>6.835269993164729E-2</v>
      </c>
      <c r="AX55" s="70" t="s">
        <v>27</v>
      </c>
      <c r="AY55" s="286">
        <v>0.34</v>
      </c>
      <c r="AZ55" s="287">
        <f>+AY55*$E54*$F59</f>
        <v>10.199999999999999</v>
      </c>
      <c r="BA55" s="70" t="s">
        <v>28</v>
      </c>
      <c r="BB55" s="288">
        <v>10</v>
      </c>
      <c r="BC55" s="289">
        <f>BB55/($F62*$E55)</f>
        <v>0.34176349965823649</v>
      </c>
      <c r="BD55" s="70" t="s">
        <v>27</v>
      </c>
      <c r="BE55" s="286">
        <v>0.02</v>
      </c>
      <c r="BF55" s="287">
        <f>+BE55*$E54*$F59</f>
        <v>0.6</v>
      </c>
      <c r="BG55" s="70" t="s">
        <v>28</v>
      </c>
      <c r="BH55" s="288">
        <v>0.5</v>
      </c>
      <c r="BI55" s="290">
        <f>BH55/($F62*$E55)</f>
        <v>1.7088174982911822E-2</v>
      </c>
    </row>
    <row r="56" spans="1:61" ht="17.25" customHeight="1">
      <c r="A56" s="328" t="s">
        <v>80</v>
      </c>
      <c r="B56" s="532" t="s">
        <v>30</v>
      </c>
      <c r="C56" s="454"/>
      <c r="D56" s="455"/>
      <c r="E56" s="533">
        <f>(I54+O54+U54+AA54+AG54+AM54+AS54+AY54+BE54+BE59+AY59+AS59+I59)/2</f>
        <v>0.53500000000000014</v>
      </c>
      <c r="F56" s="457"/>
      <c r="G56" s="534">
        <f>(E56+E57)</f>
        <v>1.0100000000000002</v>
      </c>
      <c r="H56" s="298" t="s">
        <v>31</v>
      </c>
      <c r="I56" s="299">
        <f>+J56/$G54</f>
        <v>2.5999999999999999E-2</v>
      </c>
      <c r="J56" s="74">
        <f>SUM(J54:J55)</f>
        <v>3.9</v>
      </c>
      <c r="K56" s="75" t="s">
        <v>31</v>
      </c>
      <c r="L56" s="300">
        <f>SUM(L54:L55)</f>
        <v>4</v>
      </c>
      <c r="M56" s="301">
        <f>L56/($F62*$G55)</f>
        <v>4.5568466621098203E-2</v>
      </c>
      <c r="N56" s="292" t="s">
        <v>31</v>
      </c>
      <c r="O56" s="293">
        <f>+P56/$G54</f>
        <v>8.0000000000000002E-3</v>
      </c>
      <c r="P56" s="71">
        <f>SUM(P54:P55)</f>
        <v>1.2</v>
      </c>
      <c r="Q56" s="85" t="s">
        <v>31</v>
      </c>
      <c r="R56" s="316">
        <f>SUM(R54:R55)</f>
        <v>1</v>
      </c>
      <c r="S56" s="295">
        <f>R56/($F62*$G55)</f>
        <v>1.1392116655274551E-2</v>
      </c>
      <c r="T56" s="296" t="s">
        <v>31</v>
      </c>
      <c r="U56" s="297">
        <f>+V56/$G54</f>
        <v>2.5999999999999999E-2</v>
      </c>
      <c r="V56" s="73">
        <f>SUM(V54:V55)</f>
        <v>3.9</v>
      </c>
      <c r="W56" s="72" t="s">
        <v>31</v>
      </c>
      <c r="X56" s="294">
        <f>SUM(X54:X55)</f>
        <v>4</v>
      </c>
      <c r="Y56" s="295">
        <f>X56/($F62*$G55)</f>
        <v>4.5568466621098203E-2</v>
      </c>
      <c r="Z56" s="296" t="s">
        <v>31</v>
      </c>
      <c r="AA56" s="297">
        <f>+AB56/$G54</f>
        <v>1.7999999999999999E-2</v>
      </c>
      <c r="AB56" s="73">
        <f>SUM(AB54:AB55)</f>
        <v>2.6999999999999997</v>
      </c>
      <c r="AC56" s="72" t="s">
        <v>31</v>
      </c>
      <c r="AD56" s="294">
        <f>SUM(AD54:AD55)</f>
        <v>3</v>
      </c>
      <c r="AE56" s="295">
        <f>AD56/($F62*$G55)</f>
        <v>3.4176349965823652E-2</v>
      </c>
      <c r="AF56" s="296" t="s">
        <v>31</v>
      </c>
      <c r="AG56" s="297">
        <f>+AH56/$G54</f>
        <v>0.06</v>
      </c>
      <c r="AH56" s="73">
        <f>SUM(AH54:AH55)</f>
        <v>9</v>
      </c>
      <c r="AI56" s="72" t="s">
        <v>31</v>
      </c>
      <c r="AJ56" s="294">
        <f>SUM(AJ54:AJ55)</f>
        <v>9</v>
      </c>
      <c r="AK56" s="295">
        <f>AJ56/($F62*$G55)</f>
        <v>0.10252904989747094</v>
      </c>
      <c r="AL56" s="296" t="s">
        <v>31</v>
      </c>
      <c r="AM56" s="297">
        <f>+AN56/$G54</f>
        <v>2.5999999999999999E-2</v>
      </c>
      <c r="AN56" s="73">
        <f>SUM(AN54:AN55)</f>
        <v>3.9</v>
      </c>
      <c r="AO56" s="72" t="s">
        <v>31</v>
      </c>
      <c r="AP56" s="294">
        <f>SUM(AP54:AP55)</f>
        <v>4</v>
      </c>
      <c r="AQ56" s="295">
        <f>AP56/($F62*$G55)</f>
        <v>4.5568466621098203E-2</v>
      </c>
      <c r="AR56" s="298" t="s">
        <v>31</v>
      </c>
      <c r="AS56" s="299">
        <f>+AT56/$G54</f>
        <v>0.05</v>
      </c>
      <c r="AT56" s="74">
        <f>SUM(AT54:AT55)</f>
        <v>7.5</v>
      </c>
      <c r="AU56" s="75" t="s">
        <v>31</v>
      </c>
      <c r="AV56" s="300">
        <f>SUM(AV54:AV55)</f>
        <v>6</v>
      </c>
      <c r="AW56" s="301">
        <f>AV56/($F62*$G55)</f>
        <v>6.8352699931647304E-2</v>
      </c>
      <c r="AX56" s="298" t="s">
        <v>31</v>
      </c>
      <c r="AY56" s="299">
        <f>+AZ56/$G54</f>
        <v>0.24</v>
      </c>
      <c r="AZ56" s="74">
        <f>SUM(AZ54:AZ55)</f>
        <v>36</v>
      </c>
      <c r="BA56" s="75" t="s">
        <v>31</v>
      </c>
      <c r="BB56" s="300">
        <f>SUM(BB54:BB55)</f>
        <v>35</v>
      </c>
      <c r="BC56" s="301">
        <f>BB56/($F62*$G55)</f>
        <v>0.39872408293460926</v>
      </c>
      <c r="BD56" s="298" t="s">
        <v>31</v>
      </c>
      <c r="BE56" s="299">
        <f>+BF56/$G54</f>
        <v>1.1999999999999999E-2</v>
      </c>
      <c r="BF56" s="74">
        <f>SUM(BF54:BF55)</f>
        <v>1.7999999999999998</v>
      </c>
      <c r="BG56" s="75" t="s">
        <v>31</v>
      </c>
      <c r="BH56" s="300">
        <f>SUM(BH54:BH55)</f>
        <v>1.5</v>
      </c>
      <c r="BI56" s="76">
        <f>BH56/($F62*$G55)</f>
        <v>1.7088174982911826E-2</v>
      </c>
    </row>
    <row r="57" spans="1:61" ht="17.25" customHeight="1">
      <c r="A57" s="102" t="s">
        <v>79</v>
      </c>
      <c r="B57" s="535" t="s">
        <v>34</v>
      </c>
      <c r="C57" s="461"/>
      <c r="D57" s="462"/>
      <c r="E57" s="536">
        <f>(I55+O55+U55+AA55+AG55+AM55+AS55+AY55+BE55+AS60+AY60+BE60+I60)/2</f>
        <v>0.47500000000000009</v>
      </c>
      <c r="F57" s="464"/>
      <c r="G57" s="459"/>
      <c r="H57" s="537">
        <f>VLOOKUP(H53,Plancha2!A:M,2,FALSE())</f>
        <v>0</v>
      </c>
      <c r="I57" s="474"/>
      <c r="J57" s="474"/>
      <c r="K57" s="306"/>
      <c r="L57" s="529">
        <f>J56</f>
        <v>3.9</v>
      </c>
      <c r="M57" s="475"/>
      <c r="N57" s="304" t="str">
        <f>VLOOKUP(N53,Friteuse!A:M,2,FALSE())</f>
        <v>Aiguilette</v>
      </c>
      <c r="O57" s="305"/>
      <c r="P57" s="305"/>
      <c r="Q57" s="77"/>
      <c r="R57" s="529">
        <f>VLOOKUP(N53,Friteuse!A:M,3,FALSE())*P56</f>
        <v>1.032</v>
      </c>
      <c r="S57" s="475"/>
      <c r="T57" s="302" t="str">
        <f>VLOOKUP(T53,Wok!A:M,2,FALSE())</f>
        <v>Nouille</v>
      </c>
      <c r="U57" s="303"/>
      <c r="V57" s="303"/>
      <c r="W57" s="77"/>
      <c r="X57" s="529">
        <f>VLOOKUP(T53,Wok!A:M,3,FALSE())*V56</f>
        <v>0.624</v>
      </c>
      <c r="Y57" s="475"/>
      <c r="Z57" s="302" t="str">
        <f>VLOOKUP(Z53,Poele!A:M,2,FALSE())</f>
        <v>Calamars</v>
      </c>
      <c r="AA57" s="303"/>
      <c r="AB57" s="303"/>
      <c r="AC57" s="77"/>
      <c r="AD57" s="529">
        <f>VLOOKUP(Z53,Poele!A:M,3,FALSE())*AB56</f>
        <v>1.7549999999999999</v>
      </c>
      <c r="AE57" s="475"/>
      <c r="AF57" s="302" t="str">
        <f>VLOOKUP(AF53,Four!A:M,2,FALSE())</f>
        <v>PDT</v>
      </c>
      <c r="AG57" s="303"/>
      <c r="AH57" s="303"/>
      <c r="AI57" s="77"/>
      <c r="AJ57" s="529">
        <f>VLOOKUP(AF53,Four!A:M,3,FALSE())*AH56</f>
        <v>4.32</v>
      </c>
      <c r="AK57" s="475"/>
      <c r="AL57" s="302" t="str">
        <f>VLOOKUP(AL53,Four!A:M,2,FALSE())</f>
        <v>Poulet jaune PAC</v>
      </c>
      <c r="AM57" s="303"/>
      <c r="AN57" s="303"/>
      <c r="AO57" s="77"/>
      <c r="AP57" s="529">
        <f>VLOOKUP(AL53,Four!A:M,3,FALSE())*AN56</f>
        <v>3.7439999999999998</v>
      </c>
      <c r="AQ57" s="475"/>
      <c r="AR57" s="538" t="s">
        <v>42</v>
      </c>
      <c r="AS57" s="461"/>
      <c r="AT57" s="461"/>
      <c r="AU57" s="306"/>
      <c r="AV57" s="529">
        <f>AT56</f>
        <v>7.5</v>
      </c>
      <c r="AW57" s="475"/>
      <c r="AX57" s="528" t="s">
        <v>156</v>
      </c>
      <c r="AY57" s="471"/>
      <c r="AZ57" s="471"/>
      <c r="BA57" s="78"/>
      <c r="BB57" s="529">
        <f>AZ56</f>
        <v>36</v>
      </c>
      <c r="BC57" s="475"/>
      <c r="BD57" s="528" t="s">
        <v>157</v>
      </c>
      <c r="BE57" s="471"/>
      <c r="BF57" s="471"/>
      <c r="BG57" s="78"/>
      <c r="BH57" s="529">
        <f>BF56</f>
        <v>1.7999999999999998</v>
      </c>
      <c r="BI57" s="503"/>
    </row>
    <row r="58" spans="1:61" ht="17.25" customHeight="1">
      <c r="A58" s="102" t="s">
        <v>94</v>
      </c>
      <c r="B58" s="539" t="s">
        <v>46</v>
      </c>
      <c r="C58" s="445"/>
      <c r="D58" s="517"/>
      <c r="E58" s="540">
        <f>(L56+R56+X56+AD56+AJ56+AP56+AV56+BB56+BH56+BH61+(BB61*BB58/1000)+L61+AV61)/(G55*F62)</f>
        <v>1</v>
      </c>
      <c r="F58" s="474"/>
      <c r="G58" s="475"/>
      <c r="H58" s="551" t="s">
        <v>223</v>
      </c>
      <c r="I58" s="552" t="s">
        <v>223</v>
      </c>
      <c r="J58" s="552" t="s">
        <v>223</v>
      </c>
      <c r="K58" s="552" t="s">
        <v>223</v>
      </c>
      <c r="L58" s="552" t="s">
        <v>223</v>
      </c>
      <c r="M58" s="553" t="s">
        <v>223</v>
      </c>
      <c r="N58" s="304" t="str">
        <f>VLOOKUP(N53,Friteuse!A:M,4,FALSE())</f>
        <v>Creme</v>
      </c>
      <c r="O58" s="79"/>
      <c r="P58" s="79"/>
      <c r="Q58" s="79"/>
      <c r="R58" s="530">
        <f>VLOOKUP(N53,Friteuse!A:M,5,FALSE())*P56</f>
        <v>1.2E-2</v>
      </c>
      <c r="S58" s="475"/>
      <c r="T58" s="302" t="str">
        <f>VLOOKUP(T53,Wok!A:M,4,FALSE())</f>
        <v>Poivron vert/rouge</v>
      </c>
      <c r="U58" s="77"/>
      <c r="V58" s="77"/>
      <c r="W58" s="77"/>
      <c r="X58" s="530">
        <f>VLOOKUP(T53,Wok!A:M,5,FALSE())*V56</f>
        <v>0.97499999999999998</v>
      </c>
      <c r="Y58" s="475"/>
      <c r="Z58" s="302" t="str">
        <f>VLOOKUP(Z53,Poele!A:M,4,FALSE())</f>
        <v>Oignons</v>
      </c>
      <c r="AA58" s="77"/>
      <c r="AB58" s="77"/>
      <c r="AC58" s="77"/>
      <c r="AD58" s="530">
        <f>VLOOKUP(Z53,Poele!A:M,5,FALSE())*AB56</f>
        <v>0.40499999999999997</v>
      </c>
      <c r="AE58" s="475"/>
      <c r="AF58" s="302" t="str">
        <f>VLOOKUP(AF53,Four!A:M,4,FALSE())</f>
        <v>From raclette</v>
      </c>
      <c r="AG58" s="77"/>
      <c r="AH58" s="77"/>
      <c r="AI58" s="77"/>
      <c r="AJ58" s="530">
        <f>VLOOKUP(AF53,Four!A:M,5,FALSE())*AH56</f>
        <v>2.6999999999999997</v>
      </c>
      <c r="AK58" s="475"/>
      <c r="AL58" s="302" t="str">
        <f>VLOOKUP(AL53,Four!A:M,4,FALSE())</f>
        <v>Aide à rôtir</v>
      </c>
      <c r="AM58" s="77"/>
      <c r="AN58" s="77"/>
      <c r="AO58" s="77"/>
      <c r="AP58" s="530">
        <f>VLOOKUP(AL53,Four!A:M,5,FALSE())*AN56</f>
        <v>0.156</v>
      </c>
      <c r="AQ58" s="475"/>
      <c r="AR58" s="481" t="s">
        <v>54</v>
      </c>
      <c r="AS58" s="431"/>
      <c r="AT58" s="431"/>
      <c r="AU58" s="431"/>
      <c r="AV58" s="431"/>
      <c r="AW58" s="432"/>
      <c r="AX58" s="481" t="s">
        <v>55</v>
      </c>
      <c r="AY58" s="431"/>
      <c r="AZ58" s="431"/>
      <c r="BA58" s="431"/>
      <c r="BB58" s="531">
        <v>60</v>
      </c>
      <c r="BC58" s="432"/>
      <c r="BD58" s="483" t="s">
        <v>301</v>
      </c>
      <c r="BE58" s="431"/>
      <c r="BF58" s="431"/>
      <c r="BG58" s="431"/>
      <c r="BH58" s="431"/>
      <c r="BI58" s="484"/>
    </row>
    <row r="59" spans="1:61" ht="17.25" customHeight="1">
      <c r="A59" s="102" t="s">
        <v>45</v>
      </c>
      <c r="B59" s="513" t="s">
        <v>158</v>
      </c>
      <c r="C59" s="445"/>
      <c r="D59" s="445"/>
      <c r="E59" s="445"/>
      <c r="F59" s="541">
        <v>0.6</v>
      </c>
      <c r="G59" s="446"/>
      <c r="H59" s="276" t="s">
        <v>23</v>
      </c>
      <c r="I59" s="62">
        <v>7.0000000000000007E-2</v>
      </c>
      <c r="J59" s="63">
        <f>+I59*$C54*$F$9</f>
        <v>4.2</v>
      </c>
      <c r="K59" s="276" t="s">
        <v>24</v>
      </c>
      <c r="L59" s="64">
        <v>4</v>
      </c>
      <c r="M59" s="277">
        <f>L59/($F62*$C55)</f>
        <v>6.835269993164729E-2</v>
      </c>
      <c r="N59" s="304" t="str">
        <f>VLOOKUP(N53,Friteuse!A:M,6,FALSE())</f>
        <v>Tandoori</v>
      </c>
      <c r="O59" s="79"/>
      <c r="P59" s="79"/>
      <c r="Q59" s="79"/>
      <c r="R59" s="530">
        <f>VLOOKUP(N53,Friteuse!A:M,7,FALSE())*P56</f>
        <v>1.7999999999999999E-2</v>
      </c>
      <c r="S59" s="475"/>
      <c r="T59" s="302" t="str">
        <f>VLOOKUP(T53,Wok!A:M,6,FALSE())</f>
        <v>Pois gourmand</v>
      </c>
      <c r="U59" s="77"/>
      <c r="V59" s="77"/>
      <c r="W59" s="77"/>
      <c r="X59" s="530">
        <f>VLOOKUP(T53,Wok!A:M,7,FALSE())*V56</f>
        <v>0.50700000000000001</v>
      </c>
      <c r="Y59" s="475"/>
      <c r="Z59" s="302" t="str">
        <f>VLOOKUP(Z53,Poele!A:M,6,FALSE())</f>
        <v>Piment frais</v>
      </c>
      <c r="AA59" s="77"/>
      <c r="AB59" s="77"/>
      <c r="AC59" s="77"/>
      <c r="AD59" s="530">
        <f>VLOOKUP(Z53,Poele!A:M,7,FALSE())*AB56</f>
        <v>2.6999999999999997E-3</v>
      </c>
      <c r="AE59" s="475"/>
      <c r="AF59" s="302" t="str">
        <f>VLOOKUP(AF53,Four!A:M,6,FALSE())</f>
        <v>Jambon sec</v>
      </c>
      <c r="AG59" s="77"/>
      <c r="AH59" s="77"/>
      <c r="AI59" s="77"/>
      <c r="AJ59" s="530">
        <f>VLOOKUP(AF53,Four!A:M,7,FALSE())*AH56</f>
        <v>0.54</v>
      </c>
      <c r="AK59" s="475"/>
      <c r="AL59" s="302" t="str">
        <f>VLOOKUP(AL53,Four!A:M,6,FALSE())</f>
        <v>Sce gd mère</v>
      </c>
      <c r="AM59" s="77"/>
      <c r="AN59" s="77"/>
      <c r="AO59" s="77"/>
      <c r="AP59" s="530">
        <f>VLOOKUP(AL53,Four!A:M,7,FALSE())*AN56</f>
        <v>0</v>
      </c>
      <c r="AQ59" s="475"/>
      <c r="AR59" s="276" t="s">
        <v>23</v>
      </c>
      <c r="AS59" s="62">
        <v>0.08</v>
      </c>
      <c r="AT59" s="63">
        <f>+AS59*$C54*$F$9</f>
        <v>4.8</v>
      </c>
      <c r="AU59" s="276" t="s">
        <v>24</v>
      </c>
      <c r="AV59" s="64">
        <v>4</v>
      </c>
      <c r="AW59" s="277">
        <f>AV59/($F62*$C55)</f>
        <v>6.835269993164729E-2</v>
      </c>
      <c r="AX59" s="307" t="s">
        <v>23</v>
      </c>
      <c r="AY59" s="62">
        <v>0.03</v>
      </c>
      <c r="AZ59" s="95">
        <f>AY59*C54*F59/(BB58/1000)</f>
        <v>29.999999999999996</v>
      </c>
      <c r="BA59" s="276" t="s">
        <v>24</v>
      </c>
      <c r="BB59" s="96">
        <v>25</v>
      </c>
      <c r="BC59" s="313">
        <f>(BB59*BB58/1000)/($F62*$C55)</f>
        <v>2.5632262474367735E-2</v>
      </c>
      <c r="BD59" s="276" t="s">
        <v>23</v>
      </c>
      <c r="BE59" s="62">
        <v>7.0000000000000007E-2</v>
      </c>
      <c r="BF59" s="63">
        <f>+BE59*$C54*$F$9</f>
        <v>4.2</v>
      </c>
      <c r="BG59" s="276" t="s">
        <v>24</v>
      </c>
      <c r="BH59" s="64">
        <v>4</v>
      </c>
      <c r="BI59" s="65">
        <f>BH59/($F62*$C55)</f>
        <v>6.835269993164729E-2</v>
      </c>
    </row>
    <row r="60" spans="1:61" ht="17.25" customHeight="1">
      <c r="A60" s="102" t="s">
        <v>56</v>
      </c>
      <c r="B60" s="544" t="s">
        <v>178</v>
      </c>
      <c r="C60" s="445"/>
      <c r="D60" s="445"/>
      <c r="E60" s="446"/>
      <c r="F60" s="319">
        <f>(L54+R54+L59+X54+AD54+AJ54+AP54+AV54+AV59+BB54+BB59*(BB58/1000)+BH54+BH59)/C55</f>
        <v>0.61</v>
      </c>
      <c r="G60" s="320">
        <f>F60/(F60+F61)</f>
        <v>0.5324720670391061</v>
      </c>
      <c r="H60" s="70" t="s">
        <v>27</v>
      </c>
      <c r="I60" s="286">
        <v>7.0000000000000007E-2</v>
      </c>
      <c r="J60" s="287">
        <f>+I60*$E54*$F59</f>
        <v>2.1</v>
      </c>
      <c r="K60" s="70" t="s">
        <v>28</v>
      </c>
      <c r="L60" s="288">
        <v>2</v>
      </c>
      <c r="M60" s="289">
        <f>L60/($F62*$E55)</f>
        <v>6.835269993164729E-2</v>
      </c>
      <c r="N60" s="304" t="str">
        <f>VLOOKUP(N53,Friteuse!A:M,8,FALSE())</f>
        <v>Sel</v>
      </c>
      <c r="O60" s="79"/>
      <c r="P60" s="79"/>
      <c r="Q60" s="79"/>
      <c r="R60" s="530">
        <f>VLOOKUP(N53,Friteuse!A:M,9,FALSE())*P56</f>
        <v>1.7999999999999999E-2</v>
      </c>
      <c r="S60" s="475"/>
      <c r="T60" s="302" t="str">
        <f>VLOOKUP(T53,Wok!A:M,8,FALSE())</f>
        <v>Pousse bambou</v>
      </c>
      <c r="U60" s="77"/>
      <c r="V60" s="77"/>
      <c r="W60" s="77"/>
      <c r="X60" s="530">
        <f>VLOOKUP(T53,Wok!A:M,9,FALSE())*V56</f>
        <v>0.50700000000000001</v>
      </c>
      <c r="Y60" s="475"/>
      <c r="Z60" s="302" t="str">
        <f>VLOOKUP(Z53,Poele!A:M,8,FALSE())</f>
        <v>Tomates</v>
      </c>
      <c r="AA60" s="77"/>
      <c r="AB60" s="77"/>
      <c r="AC60" s="77"/>
      <c r="AD60" s="530">
        <f>VLOOKUP(Z53,Poele!A:M,9,FALSE())*AB56</f>
        <v>0.53999999999999992</v>
      </c>
      <c r="AE60" s="475"/>
      <c r="AF60" s="302" t="str">
        <f>VLOOKUP(AF53,Four!A:M,8,FALSE())</f>
        <v>Rosette</v>
      </c>
      <c r="AG60" s="77"/>
      <c r="AH60" s="77"/>
      <c r="AI60" s="77"/>
      <c r="AJ60" s="530">
        <f>VLOOKUP(AF53,Four!A:M,9,FALSE())*AH56</f>
        <v>0.54</v>
      </c>
      <c r="AK60" s="475"/>
      <c r="AL60" s="302">
        <f>VLOOKUP(AL53,Four!A:M,8,FALSE())</f>
        <v>0</v>
      </c>
      <c r="AM60" s="77"/>
      <c r="AN60" s="77"/>
      <c r="AO60" s="77"/>
      <c r="AP60" s="530">
        <f>VLOOKUP(AL53,Four!A:M,9,FALSE())*AN56</f>
        <v>0</v>
      </c>
      <c r="AQ60" s="475"/>
      <c r="AR60" s="70" t="s">
        <v>27</v>
      </c>
      <c r="AS60" s="286">
        <v>0.09</v>
      </c>
      <c r="AT60" s="287">
        <f>+AS60*$E54*$F59</f>
        <v>2.6999999999999997</v>
      </c>
      <c r="AU60" s="70" t="s">
        <v>28</v>
      </c>
      <c r="AV60" s="288">
        <v>2</v>
      </c>
      <c r="AW60" s="289">
        <f>AV60/($F62*$E55)</f>
        <v>6.835269993164729E-2</v>
      </c>
      <c r="AX60" s="80" t="s">
        <v>27</v>
      </c>
      <c r="AY60" s="286">
        <v>0.03</v>
      </c>
      <c r="AZ60" s="321">
        <f>AY60*E54*F59/(BB58/1000)</f>
        <v>14.999999999999998</v>
      </c>
      <c r="BA60" s="70" t="s">
        <v>28</v>
      </c>
      <c r="BB60" s="322">
        <v>13</v>
      </c>
      <c r="BC60" s="315">
        <f>(BB60*BB58/1000)/($F62*$E55)</f>
        <v>2.6657552973342446E-2</v>
      </c>
      <c r="BD60" s="70" t="s">
        <v>27</v>
      </c>
      <c r="BE60" s="286">
        <v>7.0000000000000007E-2</v>
      </c>
      <c r="BF60" s="287">
        <f>+BE60*$E54*$F59</f>
        <v>2.1</v>
      </c>
      <c r="BG60" s="70" t="s">
        <v>28</v>
      </c>
      <c r="BH60" s="288">
        <v>2</v>
      </c>
      <c r="BI60" s="290">
        <f>BH60/($F62*$E55)</f>
        <v>6.835269993164729E-2</v>
      </c>
    </row>
    <row r="61" spans="1:61" ht="17.25" customHeight="1">
      <c r="A61" s="102"/>
      <c r="B61" s="447"/>
      <c r="C61" s="434"/>
      <c r="D61" s="434"/>
      <c r="E61" s="435"/>
      <c r="F61" s="323">
        <f>(L55+L60+R55+X55+AD55+AJ55+AP55+AV55+AV60+BB55+BB60*(BB58/1000)+BH60+BH55)/E55</f>
        <v>0.53560000000000008</v>
      </c>
      <c r="G61" s="324">
        <f>F61/(F60+F61)</f>
        <v>0.46752793296089395</v>
      </c>
      <c r="H61" s="298" t="s">
        <v>31</v>
      </c>
      <c r="I61" s="299">
        <f>+J61/$G54</f>
        <v>4.2000000000000003E-2</v>
      </c>
      <c r="J61" s="74">
        <f>SUM(J59:J60)</f>
        <v>6.3000000000000007</v>
      </c>
      <c r="K61" s="75" t="s">
        <v>31</v>
      </c>
      <c r="L61" s="300">
        <f>SUM(L59:L60)</f>
        <v>6</v>
      </c>
      <c r="M61" s="301">
        <f>L61/($F62*$G55)</f>
        <v>6.8352699931647304E-2</v>
      </c>
      <c r="N61" s="304" t="str">
        <f>VLOOKUP(N53,Friteuse!A:M,10,FALSE())</f>
        <v>Panko</v>
      </c>
      <c r="O61" s="78"/>
      <c r="P61" s="78"/>
      <c r="Q61" s="78"/>
      <c r="R61" s="530">
        <f>VLOOKUP(N53,Friteuse!A:M,11,FALSE())*P56</f>
        <v>0.12</v>
      </c>
      <c r="S61" s="475"/>
      <c r="T61" s="302" t="str">
        <f>VLOOKUP(T53,Wok!A:M,10,FALSE())</f>
        <v>Soja frais</v>
      </c>
      <c r="U61" s="81"/>
      <c r="V61" s="81"/>
      <c r="W61" s="81"/>
      <c r="X61" s="530">
        <f>VLOOKUP(T53,Wok!A:M,11,FALSE())*V56</f>
        <v>0.50700000000000001</v>
      </c>
      <c r="Y61" s="475"/>
      <c r="Z61" s="302" t="str">
        <f>VLOOKUP(Z53,Poele!A:M,10,FALSE())</f>
        <v>Basilic</v>
      </c>
      <c r="AA61" s="81"/>
      <c r="AB61" s="81"/>
      <c r="AC61" s="81"/>
      <c r="AD61" s="530">
        <f>VLOOKUP(Z53,Poele!A:M,11,FALSE())*AB56</f>
        <v>0</v>
      </c>
      <c r="AE61" s="475"/>
      <c r="AF61" s="302" t="str">
        <f>VLOOKUP(AF53,Four!A:M,10,FALSE())</f>
        <v>Jambon blc</v>
      </c>
      <c r="AG61" s="81"/>
      <c r="AH61" s="81"/>
      <c r="AI61" s="81"/>
      <c r="AJ61" s="530">
        <f>VLOOKUP(AF53,Four!A:M,11,FALSE())*AH56</f>
        <v>0.9</v>
      </c>
      <c r="AK61" s="475"/>
      <c r="AL61" s="302">
        <f>VLOOKUP(AL53,Four!A:M,10,FALSE())</f>
        <v>0</v>
      </c>
      <c r="AM61" s="81"/>
      <c r="AN61" s="81"/>
      <c r="AO61" s="81"/>
      <c r="AP61" s="530">
        <f>VLOOKUP(AL53,Four!A:M,11,FALSE())*AN56</f>
        <v>0</v>
      </c>
      <c r="AQ61" s="475"/>
      <c r="AR61" s="298" t="s">
        <v>31</v>
      </c>
      <c r="AS61" s="299">
        <f>+AT61/$G54</f>
        <v>0.05</v>
      </c>
      <c r="AT61" s="74">
        <f>SUM(AT59:AT60)</f>
        <v>7.5</v>
      </c>
      <c r="AU61" s="75" t="s">
        <v>31</v>
      </c>
      <c r="AV61" s="300">
        <f>SUM(AV59:AV60)</f>
        <v>6</v>
      </c>
      <c r="AW61" s="301">
        <f>AV61/($F62*$G55)</f>
        <v>6.8352699931647304E-2</v>
      </c>
      <c r="AX61" s="308" t="s">
        <v>31</v>
      </c>
      <c r="AY61" s="299"/>
      <c r="AZ61" s="97">
        <f>SUM(AZ59:AZ60)</f>
        <v>44.999999999999993</v>
      </c>
      <c r="BA61" s="75" t="s">
        <v>31</v>
      </c>
      <c r="BB61" s="325">
        <f>SUM(BB59:BB60)</f>
        <v>38</v>
      </c>
      <c r="BC61" s="295">
        <f>(BB61*BB58/1000)/($F62*$G55)</f>
        <v>2.5974025974025972E-2</v>
      </c>
      <c r="BD61" s="298" t="s">
        <v>31</v>
      </c>
      <c r="BE61" s="299">
        <f>+BF61/$G54</f>
        <v>4.2000000000000003E-2</v>
      </c>
      <c r="BF61" s="74">
        <f>SUM(BF59:BF60)</f>
        <v>6.3000000000000007</v>
      </c>
      <c r="BG61" s="75" t="s">
        <v>31</v>
      </c>
      <c r="BH61" s="300">
        <f>SUM(BH59:BH60)</f>
        <v>6</v>
      </c>
      <c r="BI61" s="76">
        <f>BH61/($F62*$G55)</f>
        <v>6.8352699931647304E-2</v>
      </c>
    </row>
    <row r="62" spans="1:61" ht="17.25" customHeight="1">
      <c r="A62" s="103"/>
      <c r="B62" s="545" t="s">
        <v>159</v>
      </c>
      <c r="C62" s="431"/>
      <c r="D62" s="431"/>
      <c r="E62" s="432"/>
      <c r="F62" s="546">
        <f>(L56+L61+R56+X56+AD56+AJ56+AP56+AV56+AV61+BB61*BB58/1000+BB56+BH56+BH61)/G55</f>
        <v>0.58520000000000005</v>
      </c>
      <c r="G62" s="435"/>
      <c r="H62" s="302" t="str">
        <f>VLOOKUP(H58,Plancha2!A:M,2,FALSE())</f>
        <v>Ingr1</v>
      </c>
      <c r="I62" s="82"/>
      <c r="J62" s="78"/>
      <c r="K62" s="78"/>
      <c r="L62" s="529">
        <f>J61</f>
        <v>6.3000000000000007</v>
      </c>
      <c r="M62" s="475"/>
      <c r="N62" s="304">
        <f>VLOOKUP(N53,Friteuse!A:M,12,FALSE())</f>
        <v>0</v>
      </c>
      <c r="O62" s="306"/>
      <c r="P62" s="306"/>
      <c r="Q62" s="306"/>
      <c r="R62" s="542">
        <f>VLOOKUP(N53,Friteuse!A:M,13,FALSE())*P56</f>
        <v>0</v>
      </c>
      <c r="S62" s="435"/>
      <c r="T62" s="302" t="str">
        <f>VLOOKUP(T53,Wok!A:M,12,FALSE())</f>
        <v>Champ. noirs</v>
      </c>
      <c r="U62" s="309"/>
      <c r="V62" s="309"/>
      <c r="W62" s="309"/>
      <c r="X62" s="542">
        <f>VLOOKUP(T53,Wok!A:M,13,FALSE())*V56</f>
        <v>0.78</v>
      </c>
      <c r="Y62" s="435"/>
      <c r="Z62" s="302" t="str">
        <f>VLOOKUP(Z53,Poele!A:M,12,FALSE())</f>
        <v>Sauce soja</v>
      </c>
      <c r="AA62" s="309"/>
      <c r="AB62" s="309"/>
      <c r="AC62" s="309"/>
      <c r="AD62" s="542">
        <f>VLOOKUP(Z53,Poele!A:M,13,FALSE())*AB56</f>
        <v>0</v>
      </c>
      <c r="AE62" s="435"/>
      <c r="AF62" s="302" t="str">
        <f>VLOOKUP(AF53,Four!A:M,12,FALSE())</f>
        <v>Champ., oignons, tomates</v>
      </c>
      <c r="AG62" s="309"/>
      <c r="AH62" s="309"/>
      <c r="AI62" s="309"/>
      <c r="AJ62" s="542">
        <f>VLOOKUP(AF53,Four!A:M,13,FALSE())*AH56</f>
        <v>0</v>
      </c>
      <c r="AK62" s="435"/>
      <c r="AL62" s="302">
        <f>VLOOKUP(AL53,Four!A:M,12,FALSE())</f>
        <v>0</v>
      </c>
      <c r="AM62" s="309"/>
      <c r="AN62" s="309"/>
      <c r="AO62" s="309"/>
      <c r="AP62" s="542">
        <f>VLOOKUP(AL53,Four!A:M,13,FALSE())*AN56</f>
        <v>0</v>
      </c>
      <c r="AQ62" s="435"/>
      <c r="AR62" s="310" t="s">
        <v>74</v>
      </c>
      <c r="AS62" s="82"/>
      <c r="AT62" s="78"/>
      <c r="AU62" s="78"/>
      <c r="AV62" s="529">
        <f>AT61</f>
        <v>7.5</v>
      </c>
      <c r="AW62" s="475"/>
      <c r="AX62" s="538" t="s">
        <v>75</v>
      </c>
      <c r="AY62" s="461"/>
      <c r="AZ62" s="461"/>
      <c r="BA62" s="311"/>
      <c r="BB62" s="529">
        <f>AZ61*(BB58/1000)</f>
        <v>2.6999999999999993</v>
      </c>
      <c r="BC62" s="475"/>
      <c r="BD62" s="543" t="s">
        <v>115</v>
      </c>
      <c r="BE62" s="461"/>
      <c r="BF62" s="461"/>
      <c r="BG62" s="311"/>
      <c r="BH62" s="529">
        <f>BF61</f>
        <v>6.3000000000000007</v>
      </c>
      <c r="BI62" s="503"/>
    </row>
    <row r="63" spans="1:61" ht="17.25" customHeight="1">
      <c r="A63" s="55">
        <f>A53+1</f>
        <v>45340</v>
      </c>
      <c r="B63" s="547" t="s">
        <v>8</v>
      </c>
      <c r="C63" s="432"/>
      <c r="D63" s="547" t="s">
        <v>9</v>
      </c>
      <c r="E63" s="432"/>
      <c r="F63" s="317" t="s">
        <v>10</v>
      </c>
      <c r="G63" s="318"/>
      <c r="H63" s="551" t="s">
        <v>149</v>
      </c>
      <c r="I63" s="552" t="s">
        <v>149</v>
      </c>
      <c r="J63" s="552" t="s">
        <v>149</v>
      </c>
      <c r="K63" s="552" t="s">
        <v>149</v>
      </c>
      <c r="L63" s="552" t="s">
        <v>149</v>
      </c>
      <c r="M63" s="553" t="s">
        <v>149</v>
      </c>
      <c r="N63" s="522" t="s">
        <v>197</v>
      </c>
      <c r="O63" s="431"/>
      <c r="P63" s="431"/>
      <c r="Q63" s="431"/>
      <c r="R63" s="431"/>
      <c r="S63" s="432"/>
      <c r="T63" s="554" t="s">
        <v>302</v>
      </c>
      <c r="U63" s="555" t="s">
        <v>302</v>
      </c>
      <c r="V63" s="555" t="s">
        <v>302</v>
      </c>
      <c r="W63" s="555" t="s">
        <v>302</v>
      </c>
      <c r="X63" s="555" t="s">
        <v>302</v>
      </c>
      <c r="Y63" s="556" t="s">
        <v>302</v>
      </c>
      <c r="Z63" s="523" t="s">
        <v>303</v>
      </c>
      <c r="AA63" s="431" t="s">
        <v>303</v>
      </c>
      <c r="AB63" s="431" t="s">
        <v>303</v>
      </c>
      <c r="AC63" s="431" t="s">
        <v>303</v>
      </c>
      <c r="AD63" s="431" t="s">
        <v>303</v>
      </c>
      <c r="AE63" s="432" t="s">
        <v>303</v>
      </c>
      <c r="AF63" s="519" t="s">
        <v>253</v>
      </c>
      <c r="AG63" s="431" t="s">
        <v>253</v>
      </c>
      <c r="AH63" s="431" t="s">
        <v>253</v>
      </c>
      <c r="AI63" s="431" t="s">
        <v>253</v>
      </c>
      <c r="AJ63" s="431" t="s">
        <v>253</v>
      </c>
      <c r="AK63" s="432" t="s">
        <v>253</v>
      </c>
      <c r="AL63" s="554" t="s">
        <v>221</v>
      </c>
      <c r="AM63" s="555" t="s">
        <v>221</v>
      </c>
      <c r="AN63" s="555" t="s">
        <v>221</v>
      </c>
      <c r="AO63" s="555" t="s">
        <v>221</v>
      </c>
      <c r="AP63" s="555" t="s">
        <v>221</v>
      </c>
      <c r="AQ63" s="556" t="s">
        <v>221</v>
      </c>
      <c r="AR63" s="481" t="s">
        <v>18</v>
      </c>
      <c r="AS63" s="431"/>
      <c r="AT63" s="431"/>
      <c r="AU63" s="431"/>
      <c r="AV63" s="431"/>
      <c r="AW63" s="432"/>
      <c r="AX63" s="482" t="s">
        <v>154</v>
      </c>
      <c r="AY63" s="434"/>
      <c r="AZ63" s="434"/>
      <c r="BA63" s="434"/>
      <c r="BB63" s="434"/>
      <c r="BC63" s="435"/>
      <c r="BD63" s="483" t="s">
        <v>155</v>
      </c>
      <c r="BE63" s="431"/>
      <c r="BF63" s="431"/>
      <c r="BG63" s="431"/>
      <c r="BH63" s="431"/>
      <c r="BI63" s="484"/>
    </row>
    <row r="64" spans="1:61" ht="17.25" customHeight="1">
      <c r="A64" s="87" t="s">
        <v>45</v>
      </c>
      <c r="B64" s="270" t="s">
        <v>22</v>
      </c>
      <c r="C64" s="271">
        <v>100</v>
      </c>
      <c r="D64" s="270" t="s">
        <v>22</v>
      </c>
      <c r="E64" s="272">
        <v>50</v>
      </c>
      <c r="F64" s="270" t="s">
        <v>22</v>
      </c>
      <c r="G64" s="56">
        <f t="shared" ref="G64:G65" si="6">+C64+E64</f>
        <v>150</v>
      </c>
      <c r="H64" s="276" t="s">
        <v>23</v>
      </c>
      <c r="I64" s="62">
        <v>0.05</v>
      </c>
      <c r="J64" s="63">
        <f>+I64*$C64*$F69</f>
        <v>3</v>
      </c>
      <c r="K64" s="276" t="s">
        <v>24</v>
      </c>
      <c r="L64" s="64">
        <v>3</v>
      </c>
      <c r="M64" s="277">
        <f>L64/($F72*$C65)</f>
        <v>5.1264524948735471E-2</v>
      </c>
      <c r="N64" s="273" t="s">
        <v>23</v>
      </c>
      <c r="O64" s="57">
        <v>0.01</v>
      </c>
      <c r="P64" s="58">
        <f>+O64*$C64*$F69</f>
        <v>0.6</v>
      </c>
      <c r="Q64" s="273" t="s">
        <v>24</v>
      </c>
      <c r="R64" s="84">
        <v>0.5</v>
      </c>
      <c r="S64" s="313">
        <f>R64/($F72*$C65)</f>
        <v>8.5440874914559112E-3</v>
      </c>
      <c r="T64" s="274" t="s">
        <v>23</v>
      </c>
      <c r="U64" s="60">
        <v>0.05</v>
      </c>
      <c r="V64" s="61">
        <f>+U64*$C64*$F69</f>
        <v>3</v>
      </c>
      <c r="W64" s="274" t="s">
        <v>24</v>
      </c>
      <c r="X64" s="59">
        <v>3</v>
      </c>
      <c r="Y64" s="275">
        <f>X64/($F72*$C65)</f>
        <v>5.1264524948735471E-2</v>
      </c>
      <c r="Z64" s="274" t="s">
        <v>23</v>
      </c>
      <c r="AA64" s="60">
        <v>0.03</v>
      </c>
      <c r="AB64" s="61">
        <f>+AA64*$C64*$F69</f>
        <v>1.7999999999999998</v>
      </c>
      <c r="AC64" s="274" t="s">
        <v>24</v>
      </c>
      <c r="AD64" s="59">
        <v>2</v>
      </c>
      <c r="AE64" s="275">
        <f>AD64/($F72*$C65)</f>
        <v>3.4176349965823645E-2</v>
      </c>
      <c r="AF64" s="274" t="s">
        <v>23</v>
      </c>
      <c r="AG64" s="60">
        <v>0.1</v>
      </c>
      <c r="AH64" s="61">
        <f>+AG64*$C64*$F69</f>
        <v>6</v>
      </c>
      <c r="AI64" s="274" t="s">
        <v>24</v>
      </c>
      <c r="AJ64" s="59">
        <v>6</v>
      </c>
      <c r="AK64" s="275">
        <f>AJ64/($F72*$C65)</f>
        <v>0.10252904989747094</v>
      </c>
      <c r="AL64" s="274" t="s">
        <v>23</v>
      </c>
      <c r="AM64" s="60">
        <v>0.05</v>
      </c>
      <c r="AN64" s="61">
        <f>+AM64*$C64*$F69</f>
        <v>3</v>
      </c>
      <c r="AO64" s="274" t="s">
        <v>24</v>
      </c>
      <c r="AP64" s="59">
        <v>3</v>
      </c>
      <c r="AQ64" s="275">
        <f>AP64/($F72*$C65)</f>
        <v>5.1264524948735471E-2</v>
      </c>
      <c r="AR64" s="276" t="s">
        <v>23</v>
      </c>
      <c r="AS64" s="62">
        <v>0.08</v>
      </c>
      <c r="AT64" s="63">
        <f>+AS64*$C64*$F69</f>
        <v>4.8</v>
      </c>
      <c r="AU64" s="276" t="s">
        <v>24</v>
      </c>
      <c r="AV64" s="64">
        <v>4</v>
      </c>
      <c r="AW64" s="277">
        <f>AV64/($F72*$C65)</f>
        <v>6.835269993164729E-2</v>
      </c>
      <c r="AX64" s="276" t="s">
        <v>23</v>
      </c>
      <c r="AY64" s="62">
        <v>0.43</v>
      </c>
      <c r="AZ64" s="63">
        <f>+AY64*$C64*$F69</f>
        <v>25.8</v>
      </c>
      <c r="BA64" s="276" t="s">
        <v>24</v>
      </c>
      <c r="BB64" s="64">
        <v>25</v>
      </c>
      <c r="BC64" s="277">
        <f>BB64/($F72*$C65)</f>
        <v>0.42720437457279559</v>
      </c>
      <c r="BD64" s="276" t="s">
        <v>23</v>
      </c>
      <c r="BE64" s="62">
        <v>0.02</v>
      </c>
      <c r="BF64" s="63">
        <f>+BE64*$C64*$F69</f>
        <v>1.2</v>
      </c>
      <c r="BG64" s="276" t="s">
        <v>24</v>
      </c>
      <c r="BH64" s="64">
        <v>1</v>
      </c>
      <c r="BI64" s="65">
        <f>BH64/($F72*$C65)</f>
        <v>1.7088174982911822E-2</v>
      </c>
    </row>
    <row r="65" spans="1:61" ht="17.25" customHeight="1">
      <c r="A65" s="88" t="s">
        <v>56</v>
      </c>
      <c r="B65" s="266" t="s">
        <v>26</v>
      </c>
      <c r="C65" s="66">
        <v>100</v>
      </c>
      <c r="D65" s="266" t="s">
        <v>26</v>
      </c>
      <c r="E65" s="67">
        <v>50</v>
      </c>
      <c r="F65" s="266" t="s">
        <v>26</v>
      </c>
      <c r="G65" s="279">
        <f t="shared" si="6"/>
        <v>150</v>
      </c>
      <c r="H65" s="70" t="s">
        <v>27</v>
      </c>
      <c r="I65" s="286">
        <v>0.03</v>
      </c>
      <c r="J65" s="287">
        <f>+I65*$E64*$F69</f>
        <v>0.89999999999999991</v>
      </c>
      <c r="K65" s="70" t="s">
        <v>28</v>
      </c>
      <c r="L65" s="288">
        <v>1</v>
      </c>
      <c r="M65" s="289">
        <f>L65/($F72*$E65)</f>
        <v>3.4176349965823645E-2</v>
      </c>
      <c r="N65" s="68" t="s">
        <v>27</v>
      </c>
      <c r="O65" s="280">
        <v>0.02</v>
      </c>
      <c r="P65" s="281">
        <f>+O65*$E64*$F69</f>
        <v>0.6</v>
      </c>
      <c r="Q65" s="68" t="s">
        <v>28</v>
      </c>
      <c r="R65" s="314">
        <v>0.5</v>
      </c>
      <c r="S65" s="315">
        <f>R65/($F72*$E65)</f>
        <v>1.7088174982911822E-2</v>
      </c>
      <c r="T65" s="69" t="s">
        <v>27</v>
      </c>
      <c r="U65" s="284">
        <v>0.03</v>
      </c>
      <c r="V65" s="285">
        <f>+U65*$E64*$F69</f>
        <v>0.89999999999999991</v>
      </c>
      <c r="W65" s="69" t="s">
        <v>28</v>
      </c>
      <c r="X65" s="282">
        <v>1</v>
      </c>
      <c r="Y65" s="283">
        <f>X65/($F72*$E65)</f>
        <v>3.4176349965823645E-2</v>
      </c>
      <c r="Z65" s="69" t="s">
        <v>27</v>
      </c>
      <c r="AA65" s="284">
        <v>0.03</v>
      </c>
      <c r="AB65" s="285">
        <f>+AA65*$E64*$F69</f>
        <v>0.89999999999999991</v>
      </c>
      <c r="AC65" s="69" t="s">
        <v>28</v>
      </c>
      <c r="AD65" s="282">
        <v>1</v>
      </c>
      <c r="AE65" s="283">
        <f>AD65/($F72*$E65)</f>
        <v>3.4176349965823645E-2</v>
      </c>
      <c r="AF65" s="69" t="s">
        <v>27</v>
      </c>
      <c r="AG65" s="284">
        <v>0.1</v>
      </c>
      <c r="AH65" s="285">
        <f>+AG65*$E64*$F69</f>
        <v>3</v>
      </c>
      <c r="AI65" s="69" t="s">
        <v>28</v>
      </c>
      <c r="AJ65" s="282">
        <v>3</v>
      </c>
      <c r="AK65" s="283">
        <f>AJ65/($F72*$E65)</f>
        <v>0.10252904989747094</v>
      </c>
      <c r="AL65" s="69" t="s">
        <v>27</v>
      </c>
      <c r="AM65" s="284">
        <v>0.03</v>
      </c>
      <c r="AN65" s="285">
        <f>+AM65*$E64*$F69</f>
        <v>0.89999999999999991</v>
      </c>
      <c r="AO65" s="69" t="s">
        <v>28</v>
      </c>
      <c r="AP65" s="282">
        <v>1</v>
      </c>
      <c r="AQ65" s="283">
        <f>AP65/($F72*$E65)</f>
        <v>3.4176349965823645E-2</v>
      </c>
      <c r="AR65" s="70" t="s">
        <v>27</v>
      </c>
      <c r="AS65" s="286">
        <v>0.09</v>
      </c>
      <c r="AT65" s="287">
        <f>+AS65*$E64*$F69</f>
        <v>2.6999999999999997</v>
      </c>
      <c r="AU65" s="70" t="s">
        <v>28</v>
      </c>
      <c r="AV65" s="288">
        <v>2</v>
      </c>
      <c r="AW65" s="289">
        <f>AV65/($F72*$E65)</f>
        <v>6.835269993164729E-2</v>
      </c>
      <c r="AX65" s="70" t="s">
        <v>27</v>
      </c>
      <c r="AY65" s="286">
        <v>0.34</v>
      </c>
      <c r="AZ65" s="287">
        <f>+AY65*$E64*$F69</f>
        <v>10.199999999999999</v>
      </c>
      <c r="BA65" s="70" t="s">
        <v>28</v>
      </c>
      <c r="BB65" s="288">
        <v>10</v>
      </c>
      <c r="BC65" s="289">
        <f>BB65/($F72*$E65)</f>
        <v>0.34176349965823649</v>
      </c>
      <c r="BD65" s="70" t="s">
        <v>27</v>
      </c>
      <c r="BE65" s="286">
        <v>0.02</v>
      </c>
      <c r="BF65" s="287">
        <f>+BE65*$E64*$F69</f>
        <v>0.6</v>
      </c>
      <c r="BG65" s="70" t="s">
        <v>28</v>
      </c>
      <c r="BH65" s="288">
        <v>0.5</v>
      </c>
      <c r="BI65" s="290">
        <f>BH65/($F72*$E65)</f>
        <v>1.7088174982911822E-2</v>
      </c>
    </row>
    <row r="66" spans="1:61" ht="17.25" customHeight="1">
      <c r="A66" s="89" t="s">
        <v>79</v>
      </c>
      <c r="B66" s="532" t="s">
        <v>30</v>
      </c>
      <c r="C66" s="454"/>
      <c r="D66" s="455"/>
      <c r="E66" s="533">
        <f>(I64+O64+U64+AA64+AG64+AM64+AS64+AY64+BE64+BE69+AY69+AS69+I69)/2</f>
        <v>0.53500000000000014</v>
      </c>
      <c r="F66" s="457"/>
      <c r="G66" s="534">
        <f>(E66+E67)</f>
        <v>1.0100000000000002</v>
      </c>
      <c r="H66" s="298" t="s">
        <v>31</v>
      </c>
      <c r="I66" s="299">
        <f>+J66/$G64</f>
        <v>2.5999999999999999E-2</v>
      </c>
      <c r="J66" s="74">
        <f>SUM(J64:J65)</f>
        <v>3.9</v>
      </c>
      <c r="K66" s="75" t="s">
        <v>31</v>
      </c>
      <c r="L66" s="300">
        <f>SUM(L64:L65)</f>
        <v>4</v>
      </c>
      <c r="M66" s="301">
        <f>L66/($F72*$G65)</f>
        <v>4.5568466621098203E-2</v>
      </c>
      <c r="N66" s="292" t="s">
        <v>31</v>
      </c>
      <c r="O66" s="293">
        <f>+P66/$G64</f>
        <v>8.0000000000000002E-3</v>
      </c>
      <c r="P66" s="71">
        <f>SUM(P64:P65)</f>
        <v>1.2</v>
      </c>
      <c r="Q66" s="85" t="s">
        <v>31</v>
      </c>
      <c r="R66" s="316">
        <f>SUM(R64:R65)</f>
        <v>1</v>
      </c>
      <c r="S66" s="295">
        <f>R66/($F72*$G65)</f>
        <v>1.1392116655274551E-2</v>
      </c>
      <c r="T66" s="296" t="s">
        <v>31</v>
      </c>
      <c r="U66" s="297">
        <f>+V66/$G64</f>
        <v>2.5999999999999999E-2</v>
      </c>
      <c r="V66" s="73">
        <f>SUM(V64:V65)</f>
        <v>3.9</v>
      </c>
      <c r="W66" s="72" t="s">
        <v>31</v>
      </c>
      <c r="X66" s="294">
        <f>SUM(X64:X65)</f>
        <v>4</v>
      </c>
      <c r="Y66" s="295">
        <f>X66/($F72*$G65)</f>
        <v>4.5568466621098203E-2</v>
      </c>
      <c r="Z66" s="296" t="s">
        <v>31</v>
      </c>
      <c r="AA66" s="297">
        <f>+AB66/$G64</f>
        <v>1.7999999999999999E-2</v>
      </c>
      <c r="AB66" s="73">
        <f>SUM(AB64:AB65)</f>
        <v>2.6999999999999997</v>
      </c>
      <c r="AC66" s="72" t="s">
        <v>31</v>
      </c>
      <c r="AD66" s="294">
        <f>SUM(AD64:AD65)</f>
        <v>3</v>
      </c>
      <c r="AE66" s="295">
        <f>AD66/($F72*$G65)</f>
        <v>3.4176349965823652E-2</v>
      </c>
      <c r="AF66" s="296" t="s">
        <v>31</v>
      </c>
      <c r="AG66" s="297">
        <f>+AH66/$G64</f>
        <v>0.06</v>
      </c>
      <c r="AH66" s="73">
        <f>SUM(AH64:AH65)</f>
        <v>9</v>
      </c>
      <c r="AI66" s="72" t="s">
        <v>31</v>
      </c>
      <c r="AJ66" s="294">
        <f>SUM(AJ64:AJ65)</f>
        <v>9</v>
      </c>
      <c r="AK66" s="295">
        <f>AJ66/($F72*$G65)</f>
        <v>0.10252904989747094</v>
      </c>
      <c r="AL66" s="296" t="s">
        <v>31</v>
      </c>
      <c r="AM66" s="297">
        <f>+AN66/$G64</f>
        <v>2.5999999999999999E-2</v>
      </c>
      <c r="AN66" s="73">
        <f>SUM(AN64:AN65)</f>
        <v>3.9</v>
      </c>
      <c r="AO66" s="72" t="s">
        <v>31</v>
      </c>
      <c r="AP66" s="294">
        <f>SUM(AP64:AP65)</f>
        <v>4</v>
      </c>
      <c r="AQ66" s="295">
        <f>AP66/($F72*$G65)</f>
        <v>4.5568466621098203E-2</v>
      </c>
      <c r="AR66" s="298" t="s">
        <v>31</v>
      </c>
      <c r="AS66" s="299">
        <f>+AT66/$G64</f>
        <v>0.05</v>
      </c>
      <c r="AT66" s="74">
        <f>SUM(AT64:AT65)</f>
        <v>7.5</v>
      </c>
      <c r="AU66" s="75" t="s">
        <v>31</v>
      </c>
      <c r="AV66" s="300">
        <f>SUM(AV64:AV65)</f>
        <v>6</v>
      </c>
      <c r="AW66" s="301">
        <f>AV66/($F72*$G65)</f>
        <v>6.8352699931647304E-2</v>
      </c>
      <c r="AX66" s="298" t="s">
        <v>31</v>
      </c>
      <c r="AY66" s="299">
        <f>+AZ66/$G64</f>
        <v>0.24</v>
      </c>
      <c r="AZ66" s="74">
        <f>SUM(AZ64:AZ65)</f>
        <v>36</v>
      </c>
      <c r="BA66" s="75" t="s">
        <v>31</v>
      </c>
      <c r="BB66" s="300">
        <f>SUM(BB64:BB65)</f>
        <v>35</v>
      </c>
      <c r="BC66" s="301">
        <f>BB66/($F72*$G65)</f>
        <v>0.39872408293460926</v>
      </c>
      <c r="BD66" s="298" t="s">
        <v>31</v>
      </c>
      <c r="BE66" s="299">
        <f>+BF66/$G64</f>
        <v>1.1999999999999999E-2</v>
      </c>
      <c r="BF66" s="74">
        <f>SUM(BF64:BF65)</f>
        <v>1.7999999999999998</v>
      </c>
      <c r="BG66" s="75" t="s">
        <v>31</v>
      </c>
      <c r="BH66" s="300">
        <f>SUM(BH64:BH65)</f>
        <v>1.5</v>
      </c>
      <c r="BI66" s="76">
        <f>BH66/($F72*$G65)</f>
        <v>1.7088174982911826E-2</v>
      </c>
    </row>
    <row r="67" spans="1:61" ht="17.25" customHeight="1">
      <c r="A67" s="89" t="s">
        <v>80</v>
      </c>
      <c r="B67" s="535" t="s">
        <v>34</v>
      </c>
      <c r="C67" s="461"/>
      <c r="D67" s="462"/>
      <c r="E67" s="536">
        <f>(I65+O65+U65+AA65+AG65+AM65+AS65+AY65+BE65+AS70+AY70+BE70+I70)/2</f>
        <v>0.47500000000000009</v>
      </c>
      <c r="F67" s="464"/>
      <c r="G67" s="459"/>
      <c r="H67" s="537" t="str">
        <f>VLOOKUP(H63,Plancha2!A:M,2,FALSE())</f>
        <v>Poisson</v>
      </c>
      <c r="I67" s="474"/>
      <c r="J67" s="474"/>
      <c r="K67" s="306"/>
      <c r="L67" s="529">
        <f>J66</f>
        <v>3.9</v>
      </c>
      <c r="M67" s="475"/>
      <c r="N67" s="304" t="str">
        <f>VLOOKUP(N63,Friteuse!A:M,2,FALSE())</f>
        <v>Aiguilette</v>
      </c>
      <c r="O67" s="305"/>
      <c r="P67" s="305"/>
      <c r="Q67" s="77"/>
      <c r="R67" s="529">
        <f>VLOOKUP(N63,Friteuse!A:M,3,FALSE())*P66</f>
        <v>1.032</v>
      </c>
      <c r="S67" s="475"/>
      <c r="T67" s="302">
        <f>VLOOKUP(T63,Wok!A:M,2,FALSE())</f>
        <v>0</v>
      </c>
      <c r="U67" s="303"/>
      <c r="V67" s="303"/>
      <c r="W67" s="77"/>
      <c r="X67" s="529">
        <f>VLOOKUP(T63,Wok!A:M,3,FALSE())*V66</f>
        <v>0</v>
      </c>
      <c r="Y67" s="475"/>
      <c r="Z67" s="302" t="str">
        <f>VLOOKUP(Z63,Poele!A:M,2,FALSE())</f>
        <v>Saumon filet</v>
      </c>
      <c r="AA67" s="303"/>
      <c r="AB67" s="303"/>
      <c r="AC67" s="77"/>
      <c r="AD67" s="529">
        <f>VLOOKUP(Z63,Poele!A:M,3,FALSE())*AB66</f>
        <v>1.7279999999999998</v>
      </c>
      <c r="AE67" s="475"/>
      <c r="AF67" s="302" t="str">
        <f>VLOOKUP(AF63,Four!A:M,2,FALSE())</f>
        <v>PDT</v>
      </c>
      <c r="AG67" s="303"/>
      <c r="AH67" s="303"/>
      <c r="AI67" s="77"/>
      <c r="AJ67" s="529">
        <f>VLOOKUP(AF63,Four!A:M,3,FALSE())*AH66</f>
        <v>4.32</v>
      </c>
      <c r="AK67" s="475"/>
      <c r="AL67" s="302" t="str">
        <f>VLOOKUP(AL63,Four!A:M,2,FALSE())</f>
        <v>Aubergine</v>
      </c>
      <c r="AM67" s="303"/>
      <c r="AN67" s="303"/>
      <c r="AO67" s="77"/>
      <c r="AP67" s="529">
        <f>VLOOKUP(AL63,Four!A:M,3,FALSE())*AN66</f>
        <v>2.9249999999999998</v>
      </c>
      <c r="AQ67" s="475"/>
      <c r="AR67" s="538" t="s">
        <v>42</v>
      </c>
      <c r="AS67" s="461"/>
      <c r="AT67" s="461"/>
      <c r="AU67" s="306"/>
      <c r="AV67" s="529">
        <f>AT66</f>
        <v>7.5</v>
      </c>
      <c r="AW67" s="475"/>
      <c r="AX67" s="528" t="s">
        <v>156</v>
      </c>
      <c r="AY67" s="471"/>
      <c r="AZ67" s="471"/>
      <c r="BA67" s="78"/>
      <c r="BB67" s="529">
        <f>AZ66</f>
        <v>36</v>
      </c>
      <c r="BC67" s="475"/>
      <c r="BD67" s="528" t="s">
        <v>157</v>
      </c>
      <c r="BE67" s="471"/>
      <c r="BF67" s="471"/>
      <c r="BG67" s="78"/>
      <c r="BH67" s="529">
        <f>BF66</f>
        <v>1.7999999999999998</v>
      </c>
      <c r="BI67" s="503"/>
    </row>
    <row r="68" spans="1:61" ht="17.25" customHeight="1">
      <c r="A68" s="89" t="s">
        <v>33</v>
      </c>
      <c r="B68" s="539" t="s">
        <v>46</v>
      </c>
      <c r="C68" s="445"/>
      <c r="D68" s="517"/>
      <c r="E68" s="540">
        <f>(L66+R66+X66+AD66+AJ66+AP66+AV66+BB66+BH66+BH71+(BB71*BB68/1000)+L71+AV71)/(G65*F72)</f>
        <v>1</v>
      </c>
      <c r="F68" s="474"/>
      <c r="G68" s="475"/>
      <c r="H68" s="551" t="s">
        <v>160</v>
      </c>
      <c r="I68" s="552"/>
      <c r="J68" s="552"/>
      <c r="K68" s="552"/>
      <c r="L68" s="552"/>
      <c r="M68" s="553"/>
      <c r="N68" s="304" t="str">
        <f>VLOOKUP(N63,Friteuse!A:M,4,FALSE())</f>
        <v>Creme</v>
      </c>
      <c r="O68" s="79"/>
      <c r="P68" s="79"/>
      <c r="Q68" s="79"/>
      <c r="R68" s="530">
        <f>VLOOKUP(N63,Friteuse!A:M,5,FALSE())*P66</f>
        <v>1.2E-2</v>
      </c>
      <c r="S68" s="475"/>
      <c r="T68" s="302">
        <f>VLOOKUP(T63,Wok!A:M,4,FALSE())</f>
        <v>0</v>
      </c>
      <c r="U68" s="77"/>
      <c r="V68" s="77"/>
      <c r="W68" s="77"/>
      <c r="X68" s="530">
        <f>VLOOKUP(T63,Wok!A:M,5,FALSE())*V66</f>
        <v>0</v>
      </c>
      <c r="Y68" s="475"/>
      <c r="Z68" s="302" t="str">
        <f>VLOOKUP(Z63,Poele!A:M,4,FALSE())</f>
        <v>Poireaux</v>
      </c>
      <c r="AA68" s="77"/>
      <c r="AB68" s="77"/>
      <c r="AC68" s="77"/>
      <c r="AD68" s="530">
        <f>VLOOKUP(Z63,Poele!A:M,5,FALSE())*AB66</f>
        <v>0.97199999999999986</v>
      </c>
      <c r="AE68" s="475"/>
      <c r="AF68" s="302" t="str">
        <f>VLOOKUP(AF63,Four!A:M,4,FALSE())</f>
        <v>From raclette</v>
      </c>
      <c r="AG68" s="77"/>
      <c r="AH68" s="77"/>
      <c r="AI68" s="77"/>
      <c r="AJ68" s="530">
        <f>VLOOKUP(AF63,Four!A:M,5,FALSE())*AH66</f>
        <v>2.6999999999999997</v>
      </c>
      <c r="AK68" s="475"/>
      <c r="AL68" s="302" t="str">
        <f>VLOOKUP(AL63,Four!A:M,4,FALSE())</f>
        <v>Huile olive</v>
      </c>
      <c r="AM68" s="77"/>
      <c r="AN68" s="77"/>
      <c r="AO68" s="77"/>
      <c r="AP68" s="530">
        <f>VLOOKUP(AL63,Four!A:M,5,FALSE())*AN66</f>
        <v>0.42899999999999999</v>
      </c>
      <c r="AQ68" s="475"/>
      <c r="AR68" s="481" t="s">
        <v>54</v>
      </c>
      <c r="AS68" s="431"/>
      <c r="AT68" s="431"/>
      <c r="AU68" s="431"/>
      <c r="AV68" s="431"/>
      <c r="AW68" s="432"/>
      <c r="AX68" s="481" t="s">
        <v>55</v>
      </c>
      <c r="AY68" s="431"/>
      <c r="AZ68" s="431"/>
      <c r="BA68" s="431"/>
      <c r="BB68" s="531">
        <v>60</v>
      </c>
      <c r="BC68" s="432"/>
      <c r="BD68" s="483" t="s">
        <v>301</v>
      </c>
      <c r="BE68" s="431"/>
      <c r="BF68" s="431"/>
      <c r="BG68" s="431"/>
      <c r="BH68" s="431"/>
      <c r="BI68" s="484"/>
    </row>
    <row r="69" spans="1:61" ht="17.25" customHeight="1">
      <c r="A69" s="89" t="s">
        <v>95</v>
      </c>
      <c r="B69" s="513" t="s">
        <v>158</v>
      </c>
      <c r="C69" s="445"/>
      <c r="D69" s="445"/>
      <c r="E69" s="445"/>
      <c r="F69" s="541">
        <v>0.6</v>
      </c>
      <c r="G69" s="446"/>
      <c r="H69" s="276" t="s">
        <v>23</v>
      </c>
      <c r="I69" s="62">
        <v>7.0000000000000007E-2</v>
      </c>
      <c r="J69" s="63">
        <f>+I69*$C64*$F$9</f>
        <v>4.2</v>
      </c>
      <c r="K69" s="276" t="s">
        <v>24</v>
      </c>
      <c r="L69" s="64">
        <v>4</v>
      </c>
      <c r="M69" s="277">
        <f>L69/($F72*$C65)</f>
        <v>6.835269993164729E-2</v>
      </c>
      <c r="N69" s="304" t="str">
        <f>VLOOKUP(N63,Friteuse!A:M,6,FALSE())</f>
        <v>Tandoori</v>
      </c>
      <c r="O69" s="79"/>
      <c r="P69" s="79"/>
      <c r="Q69" s="79"/>
      <c r="R69" s="530">
        <f>VLOOKUP(N63,Friteuse!A:M,7,FALSE())*P66</f>
        <v>1.7999999999999999E-2</v>
      </c>
      <c r="S69" s="475"/>
      <c r="T69" s="302">
        <f>VLOOKUP(T63,Wok!A:M,6,FALSE())</f>
        <v>0</v>
      </c>
      <c r="U69" s="77"/>
      <c r="V69" s="77"/>
      <c r="W69" s="77"/>
      <c r="X69" s="530">
        <f>VLOOKUP(T63,Wok!A:M,7,FALSE())*V66</f>
        <v>0</v>
      </c>
      <c r="Y69" s="475"/>
      <c r="Z69" s="302" t="str">
        <f>VLOOKUP(Z63,Poele!A:M,6,FALSE())</f>
        <v>Feuille de brick</v>
      </c>
      <c r="AA69" s="77"/>
      <c r="AB69" s="77"/>
      <c r="AC69" s="77"/>
      <c r="AD69" s="530">
        <f>VLOOKUP(Z63,Poele!A:M,7,FALSE())*AB66</f>
        <v>0</v>
      </c>
      <c r="AE69" s="475"/>
      <c r="AF69" s="302" t="str">
        <f>VLOOKUP(AF63,Four!A:M,6,FALSE())</f>
        <v>Jambon sec</v>
      </c>
      <c r="AG69" s="77"/>
      <c r="AH69" s="77"/>
      <c r="AI69" s="77"/>
      <c r="AJ69" s="530">
        <f>VLOOKUP(AF63,Four!A:M,7,FALSE())*AH66</f>
        <v>0.54</v>
      </c>
      <c r="AK69" s="475"/>
      <c r="AL69" s="302" t="str">
        <f>VLOOKUP(AL63,Four!A:M,6,FALSE())</f>
        <v>Sel</v>
      </c>
      <c r="AM69" s="77"/>
      <c r="AN69" s="77"/>
      <c r="AO69" s="77"/>
      <c r="AP69" s="530">
        <f>VLOOKUP(AL63,Four!A:M,7,FALSE())*AN66</f>
        <v>7.8E-2</v>
      </c>
      <c r="AQ69" s="475"/>
      <c r="AR69" s="276" t="s">
        <v>23</v>
      </c>
      <c r="AS69" s="62">
        <v>0.08</v>
      </c>
      <c r="AT69" s="63">
        <f>+AS69*$C64*$F$9</f>
        <v>4.8</v>
      </c>
      <c r="AU69" s="276" t="s">
        <v>24</v>
      </c>
      <c r="AV69" s="64">
        <v>4</v>
      </c>
      <c r="AW69" s="277">
        <f>AV69/($F72*$C65)</f>
        <v>6.835269993164729E-2</v>
      </c>
      <c r="AX69" s="307" t="s">
        <v>23</v>
      </c>
      <c r="AY69" s="62">
        <v>0.03</v>
      </c>
      <c r="AZ69" s="95">
        <f>AY69*C64*F69/(BB68/1000)</f>
        <v>29.999999999999996</v>
      </c>
      <c r="BA69" s="276" t="s">
        <v>24</v>
      </c>
      <c r="BB69" s="96">
        <v>25</v>
      </c>
      <c r="BC69" s="313">
        <f>(BB69*BB68/1000)/($F72*$C65)</f>
        <v>2.5632262474367735E-2</v>
      </c>
      <c r="BD69" s="276" t="s">
        <v>23</v>
      </c>
      <c r="BE69" s="62">
        <v>7.0000000000000007E-2</v>
      </c>
      <c r="BF69" s="63">
        <f>+BE69*$C64*$F$9</f>
        <v>4.2</v>
      </c>
      <c r="BG69" s="276" t="s">
        <v>24</v>
      </c>
      <c r="BH69" s="64">
        <v>4</v>
      </c>
      <c r="BI69" s="65">
        <f>BH69/($F72*$C65)</f>
        <v>6.835269993164729E-2</v>
      </c>
    </row>
    <row r="70" spans="1:61" ht="17.25" customHeight="1">
      <c r="A70" s="89" t="s">
        <v>138</v>
      </c>
      <c r="B70" s="544" t="s">
        <v>178</v>
      </c>
      <c r="C70" s="445"/>
      <c r="D70" s="445"/>
      <c r="E70" s="446"/>
      <c r="F70" s="319">
        <f>(L64+R64+L69+X64+AD64+AJ64+AP64+AV64+AV69+BB64+BB69*(BB68/1000)+BH64+BH69)/C65</f>
        <v>0.61</v>
      </c>
      <c r="G70" s="320">
        <f>F70/(F70+F71)</f>
        <v>0.5324720670391061</v>
      </c>
      <c r="H70" s="70" t="s">
        <v>27</v>
      </c>
      <c r="I70" s="286">
        <v>7.0000000000000007E-2</v>
      </c>
      <c r="J70" s="287">
        <f>+I70*$E64*$F69</f>
        <v>2.1</v>
      </c>
      <c r="K70" s="70" t="s">
        <v>28</v>
      </c>
      <c r="L70" s="288">
        <v>2</v>
      </c>
      <c r="M70" s="289">
        <f>L70/($F72*$E65)</f>
        <v>6.835269993164729E-2</v>
      </c>
      <c r="N70" s="304" t="str">
        <f>VLOOKUP(N63,Friteuse!A:M,8,FALSE())</f>
        <v>Sel</v>
      </c>
      <c r="O70" s="79"/>
      <c r="P70" s="79"/>
      <c r="Q70" s="79"/>
      <c r="R70" s="530">
        <f>VLOOKUP(N63,Friteuse!A:M,9,FALSE())*P66</f>
        <v>1.7999999999999999E-2</v>
      </c>
      <c r="S70" s="475"/>
      <c r="T70" s="302">
        <f>VLOOKUP(T63,Wok!A:M,8,FALSE())</f>
        <v>0</v>
      </c>
      <c r="U70" s="77"/>
      <c r="V70" s="77"/>
      <c r="W70" s="77"/>
      <c r="X70" s="530">
        <f>VLOOKUP(T63,Wok!A:M,9,FALSE())*V66</f>
        <v>0</v>
      </c>
      <c r="Y70" s="475"/>
      <c r="Z70" s="302">
        <f>VLOOKUP(Z63,Poele!A:M,8,FALSE())</f>
        <v>0</v>
      </c>
      <c r="AA70" s="77"/>
      <c r="AB70" s="77"/>
      <c r="AC70" s="77"/>
      <c r="AD70" s="530">
        <f>VLOOKUP(Z63,Poele!A:M,9,FALSE())*AB66</f>
        <v>0</v>
      </c>
      <c r="AE70" s="475"/>
      <c r="AF70" s="302" t="str">
        <f>VLOOKUP(AF63,Four!A:M,8,FALSE())</f>
        <v>Rosette</v>
      </c>
      <c r="AG70" s="77"/>
      <c r="AH70" s="77"/>
      <c r="AI70" s="77"/>
      <c r="AJ70" s="530">
        <f>VLOOKUP(AF63,Four!A:M,9,FALSE())*AH66</f>
        <v>0.54</v>
      </c>
      <c r="AK70" s="475"/>
      <c r="AL70" s="302" t="str">
        <f>VLOOKUP(AL63,Four!A:M,8,FALSE())</f>
        <v>Ail</v>
      </c>
      <c r="AM70" s="77"/>
      <c r="AN70" s="77"/>
      <c r="AO70" s="77"/>
      <c r="AP70" s="530">
        <f>VLOOKUP(AL63,Four!A:M,9,FALSE())*AN66</f>
        <v>7.8E-2</v>
      </c>
      <c r="AQ70" s="475"/>
      <c r="AR70" s="70" t="s">
        <v>27</v>
      </c>
      <c r="AS70" s="286">
        <v>0.09</v>
      </c>
      <c r="AT70" s="287">
        <f>+AS70*$E64*$F69</f>
        <v>2.6999999999999997</v>
      </c>
      <c r="AU70" s="70" t="s">
        <v>28</v>
      </c>
      <c r="AV70" s="288">
        <v>2</v>
      </c>
      <c r="AW70" s="289">
        <f>AV70/($F72*$E65)</f>
        <v>6.835269993164729E-2</v>
      </c>
      <c r="AX70" s="80" t="s">
        <v>27</v>
      </c>
      <c r="AY70" s="286">
        <v>0.03</v>
      </c>
      <c r="AZ70" s="321">
        <f>AY70*E64*F69/(BB68/1000)</f>
        <v>14.999999999999998</v>
      </c>
      <c r="BA70" s="70" t="s">
        <v>28</v>
      </c>
      <c r="BB70" s="322">
        <v>13</v>
      </c>
      <c r="BC70" s="315">
        <f>(BB70*BB68/1000)/($F72*$E65)</f>
        <v>2.6657552973342446E-2</v>
      </c>
      <c r="BD70" s="70" t="s">
        <v>27</v>
      </c>
      <c r="BE70" s="286">
        <v>7.0000000000000007E-2</v>
      </c>
      <c r="BF70" s="287">
        <f>+BE70*$E64*$F69</f>
        <v>2.1</v>
      </c>
      <c r="BG70" s="70" t="s">
        <v>28</v>
      </c>
      <c r="BH70" s="288">
        <v>2</v>
      </c>
      <c r="BI70" s="290">
        <f>BH70/($F72*$E65)</f>
        <v>6.835269993164729E-2</v>
      </c>
    </row>
    <row r="71" spans="1:61" ht="17.25" customHeight="1">
      <c r="A71" s="89" t="s">
        <v>94</v>
      </c>
      <c r="B71" s="447"/>
      <c r="C71" s="434"/>
      <c r="D71" s="434"/>
      <c r="E71" s="435"/>
      <c r="F71" s="323">
        <f>(L65+L70+R65+X65+AD65+AJ65+AP65+AV65+AV70+BB65+BB70*(BB68/1000)+BH70+BH65)/E65</f>
        <v>0.53560000000000008</v>
      </c>
      <c r="G71" s="324">
        <f>F71/(F70+F71)</f>
        <v>0.46752793296089395</v>
      </c>
      <c r="H71" s="298" t="s">
        <v>31</v>
      </c>
      <c r="I71" s="299">
        <f>+J71/$G64</f>
        <v>4.2000000000000003E-2</v>
      </c>
      <c r="J71" s="74">
        <f>SUM(J69:J70)</f>
        <v>6.3000000000000007</v>
      </c>
      <c r="K71" s="75" t="s">
        <v>31</v>
      </c>
      <c r="L71" s="300">
        <f>SUM(L69:L70)</f>
        <v>6</v>
      </c>
      <c r="M71" s="301">
        <f>L71/($F72*$G65)</f>
        <v>6.8352699931647304E-2</v>
      </c>
      <c r="N71" s="304" t="str">
        <f>VLOOKUP(N63,Friteuse!A:M,10,FALSE())</f>
        <v>Panko</v>
      </c>
      <c r="O71" s="78"/>
      <c r="P71" s="78"/>
      <c r="Q71" s="78"/>
      <c r="R71" s="530">
        <f>VLOOKUP(N63,Friteuse!A:M,11,FALSE())*P66</f>
        <v>0.12</v>
      </c>
      <c r="S71" s="475"/>
      <c r="T71" s="302">
        <f>VLOOKUP(T63,Wok!A:M,10,FALSE())</f>
        <v>0</v>
      </c>
      <c r="U71" s="81"/>
      <c r="V71" s="81"/>
      <c r="W71" s="81"/>
      <c r="X71" s="530">
        <f>VLOOKUP(T63,Wok!A:M,11,FALSE())*V66</f>
        <v>0</v>
      </c>
      <c r="Y71" s="475"/>
      <c r="Z71" s="302">
        <f>VLOOKUP(Z63,Poele!A:M,10,FALSE())</f>
        <v>0</v>
      </c>
      <c r="AA71" s="81"/>
      <c r="AB71" s="81"/>
      <c r="AC71" s="81"/>
      <c r="AD71" s="530">
        <f>VLOOKUP(Z63,Poele!A:M,11,FALSE())*AB66</f>
        <v>0</v>
      </c>
      <c r="AE71" s="475"/>
      <c r="AF71" s="302" t="str">
        <f>VLOOKUP(AF63,Four!A:M,10,FALSE())</f>
        <v>Jambon blc</v>
      </c>
      <c r="AG71" s="81"/>
      <c r="AH71" s="81"/>
      <c r="AI71" s="81"/>
      <c r="AJ71" s="530">
        <f>VLOOKUP(AF63,Four!A:M,11,FALSE())*AH66</f>
        <v>0.9</v>
      </c>
      <c r="AK71" s="475"/>
      <c r="AL71" s="302" t="str">
        <f>VLOOKUP(AL63,Four!A:M,10,FALSE())</f>
        <v>Persil</v>
      </c>
      <c r="AM71" s="81"/>
      <c r="AN71" s="81"/>
      <c r="AO71" s="81"/>
      <c r="AP71" s="530">
        <f>VLOOKUP(AL63,Four!A:M,11,FALSE())*AN66</f>
        <v>7.8E-2</v>
      </c>
      <c r="AQ71" s="475"/>
      <c r="AR71" s="298" t="s">
        <v>31</v>
      </c>
      <c r="AS71" s="299">
        <f>+AT71/$G64</f>
        <v>0.05</v>
      </c>
      <c r="AT71" s="74">
        <f>SUM(AT69:AT70)</f>
        <v>7.5</v>
      </c>
      <c r="AU71" s="75" t="s">
        <v>31</v>
      </c>
      <c r="AV71" s="300">
        <f>SUM(AV69:AV70)</f>
        <v>6</v>
      </c>
      <c r="AW71" s="301">
        <f>AV71/($F72*$G65)</f>
        <v>6.8352699931647304E-2</v>
      </c>
      <c r="AX71" s="308" t="s">
        <v>31</v>
      </c>
      <c r="AY71" s="299"/>
      <c r="AZ71" s="97">
        <f>SUM(AZ69:AZ70)</f>
        <v>44.999999999999993</v>
      </c>
      <c r="BA71" s="75" t="s">
        <v>31</v>
      </c>
      <c r="BB71" s="325">
        <f>SUM(BB69:BB70)</f>
        <v>38</v>
      </c>
      <c r="BC71" s="295">
        <f>(BB71*BB68/1000)/($F72*$G65)</f>
        <v>2.5974025974025972E-2</v>
      </c>
      <c r="BD71" s="298" t="s">
        <v>31</v>
      </c>
      <c r="BE71" s="299">
        <f>+BF71/$G64</f>
        <v>4.2000000000000003E-2</v>
      </c>
      <c r="BF71" s="74">
        <f>SUM(BF69:BF70)</f>
        <v>6.3000000000000007</v>
      </c>
      <c r="BG71" s="75" t="s">
        <v>31</v>
      </c>
      <c r="BH71" s="300">
        <f>SUM(BH69:BH70)</f>
        <v>6</v>
      </c>
      <c r="BI71" s="76">
        <f>BH71/($F72*$G65)</f>
        <v>6.8352699931647304E-2</v>
      </c>
    </row>
    <row r="72" spans="1:61" ht="17.25" customHeight="1">
      <c r="A72" s="90"/>
      <c r="B72" s="545" t="s">
        <v>159</v>
      </c>
      <c r="C72" s="431"/>
      <c r="D72" s="431"/>
      <c r="E72" s="432"/>
      <c r="F72" s="546">
        <f>(L66+L71+R66+X66+AD66+AJ66+AP66+AV66+AV71+BB71*BB68/1000+BB66+BH66+BH71)/G65</f>
        <v>0.58520000000000005</v>
      </c>
      <c r="G72" s="435"/>
      <c r="H72" s="302" t="str">
        <f>VLOOKUP(H68,Plancha2!A:M,2,FALSE())</f>
        <v>Lamelle encornet</v>
      </c>
      <c r="I72" s="82"/>
      <c r="J72" s="78"/>
      <c r="K72" s="78"/>
      <c r="L72" s="529">
        <f>J71</f>
        <v>6.3000000000000007</v>
      </c>
      <c r="M72" s="475"/>
      <c r="N72" s="101">
        <f>VLOOKUP(N63,Friteuse!A:M,12,FALSE())</f>
        <v>0</v>
      </c>
      <c r="O72" s="70"/>
      <c r="P72" s="70"/>
      <c r="Q72" s="70"/>
      <c r="R72" s="548">
        <f>VLOOKUP(N63,Friteuse!A:M,13,FALSE())*P66</f>
        <v>0</v>
      </c>
      <c r="S72" s="468"/>
      <c r="T72" s="91">
        <f>VLOOKUP(T63,Wok!A:M,12,FALSE())</f>
        <v>0</v>
      </c>
      <c r="U72" s="92"/>
      <c r="V72" s="92"/>
      <c r="W72" s="92"/>
      <c r="X72" s="548">
        <f>VLOOKUP(T63,Wok!A:M,13,FALSE())*V66</f>
        <v>0</v>
      </c>
      <c r="Y72" s="468"/>
      <c r="Z72" s="91">
        <f>VLOOKUP(Z63,Poele!A:M,12,FALSE())</f>
        <v>0</v>
      </c>
      <c r="AA72" s="92"/>
      <c r="AB72" s="92"/>
      <c r="AC72" s="92"/>
      <c r="AD72" s="548">
        <f>VLOOKUP(Z63,Poele!A:M,13,FALSE())*AB66</f>
        <v>0</v>
      </c>
      <c r="AE72" s="468"/>
      <c r="AF72" s="91" t="str">
        <f>VLOOKUP(AF63,Four!A:M,12,FALSE())</f>
        <v>Champ., oignons, tomates</v>
      </c>
      <c r="AG72" s="92"/>
      <c r="AH72" s="92"/>
      <c r="AI72" s="92"/>
      <c r="AJ72" s="548">
        <f>VLOOKUP(AF63,Four!A:M,13,FALSE())*AH66</f>
        <v>0</v>
      </c>
      <c r="AK72" s="468"/>
      <c r="AL72" s="91" t="str">
        <f>VLOOKUP(AL63,Four!A:M,12,FALSE())</f>
        <v>Parmesan</v>
      </c>
      <c r="AM72" s="92"/>
      <c r="AN72" s="92"/>
      <c r="AO72" s="92"/>
      <c r="AP72" s="548">
        <f>VLOOKUP(AL63,Four!A:M,13,FALSE())*AN66</f>
        <v>0.312</v>
      </c>
      <c r="AQ72" s="468"/>
      <c r="AR72" s="80" t="s">
        <v>74</v>
      </c>
      <c r="AS72" s="93"/>
      <c r="AT72" s="70"/>
      <c r="AU72" s="70"/>
      <c r="AV72" s="549">
        <f>AT71</f>
        <v>7.5</v>
      </c>
      <c r="AW72" s="468"/>
      <c r="AX72" s="538" t="s">
        <v>75</v>
      </c>
      <c r="AY72" s="461"/>
      <c r="AZ72" s="461"/>
      <c r="BA72" s="311"/>
      <c r="BB72" s="529">
        <f>AZ71*(BB68/1000)</f>
        <v>2.6999999999999993</v>
      </c>
      <c r="BC72" s="475"/>
      <c r="BD72" s="543" t="s">
        <v>115</v>
      </c>
      <c r="BE72" s="461"/>
      <c r="BF72" s="461"/>
      <c r="BG72" s="94"/>
      <c r="BH72" s="549">
        <f>BF71</f>
        <v>6.3000000000000007</v>
      </c>
      <c r="BI72" s="550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</sheetData>
  <mergeCells count="515">
    <mergeCell ref="AR3:AW3"/>
    <mergeCell ref="AX3:BC3"/>
    <mergeCell ref="BD3:BI3"/>
    <mergeCell ref="AF1:AK2"/>
    <mergeCell ref="AL1:AQ2"/>
    <mergeCell ref="AR1:BC2"/>
    <mergeCell ref="BD1:BI2"/>
    <mergeCell ref="B2:E2"/>
    <mergeCell ref="B3:C3"/>
    <mergeCell ref="D3:E3"/>
    <mergeCell ref="H3:M3"/>
    <mergeCell ref="N3:S3"/>
    <mergeCell ref="T3:Y3"/>
    <mergeCell ref="B1:C1"/>
    <mergeCell ref="D1:E1"/>
    <mergeCell ref="H1:M2"/>
    <mergeCell ref="N1:S2"/>
    <mergeCell ref="T1:Y2"/>
    <mergeCell ref="Z1:AE2"/>
    <mergeCell ref="B6:D6"/>
    <mergeCell ref="E6:F6"/>
    <mergeCell ref="G6:G7"/>
    <mergeCell ref="B7:D7"/>
    <mergeCell ref="E7:F7"/>
    <mergeCell ref="H7:J7"/>
    <mergeCell ref="Z3:AE3"/>
    <mergeCell ref="AF3:AK3"/>
    <mergeCell ref="AL3:AQ3"/>
    <mergeCell ref="AR7:AT7"/>
    <mergeCell ref="AV7:AW7"/>
    <mergeCell ref="AX7:AZ7"/>
    <mergeCell ref="BB7:BC7"/>
    <mergeCell ref="BD7:BF7"/>
    <mergeCell ref="BH7:BI7"/>
    <mergeCell ref="L7:M7"/>
    <mergeCell ref="R7:S7"/>
    <mergeCell ref="X7:Y7"/>
    <mergeCell ref="AD7:AE7"/>
    <mergeCell ref="AJ7:AK7"/>
    <mergeCell ref="AP7:AQ7"/>
    <mergeCell ref="AJ8:AK8"/>
    <mergeCell ref="AP8:AQ8"/>
    <mergeCell ref="AR8:AW8"/>
    <mergeCell ref="AX8:BA8"/>
    <mergeCell ref="BB8:BC8"/>
    <mergeCell ref="BD8:BI8"/>
    <mergeCell ref="B8:D8"/>
    <mergeCell ref="E8:G8"/>
    <mergeCell ref="H8:M8"/>
    <mergeCell ref="R8:S8"/>
    <mergeCell ref="X8:Y8"/>
    <mergeCell ref="AD8:AE8"/>
    <mergeCell ref="AP9:AQ9"/>
    <mergeCell ref="B10:E11"/>
    <mergeCell ref="R10:S10"/>
    <mergeCell ref="X10:Y10"/>
    <mergeCell ref="AD10:AE10"/>
    <mergeCell ref="AJ10:AK10"/>
    <mergeCell ref="AP10:AQ10"/>
    <mergeCell ref="R11:S11"/>
    <mergeCell ref="X11:Y11"/>
    <mergeCell ref="AD11:AE11"/>
    <mergeCell ref="B9:E9"/>
    <mergeCell ref="F9:G9"/>
    <mergeCell ref="R9:S9"/>
    <mergeCell ref="X9:Y9"/>
    <mergeCell ref="AD9:AE9"/>
    <mergeCell ref="AJ9:AK9"/>
    <mergeCell ref="AJ11:AK11"/>
    <mergeCell ref="AP11:AQ11"/>
    <mergeCell ref="AX13:BC13"/>
    <mergeCell ref="BD13:BI13"/>
    <mergeCell ref="AV12:AW12"/>
    <mergeCell ref="AX12:AZ12"/>
    <mergeCell ref="BB12:BC12"/>
    <mergeCell ref="BD12:BF12"/>
    <mergeCell ref="BH12:BI12"/>
    <mergeCell ref="B13:C13"/>
    <mergeCell ref="D13:E13"/>
    <mergeCell ref="H13:M13"/>
    <mergeCell ref="N13:S13"/>
    <mergeCell ref="T13:Y13"/>
    <mergeCell ref="B12:E12"/>
    <mergeCell ref="F12:G12"/>
    <mergeCell ref="L12:M12"/>
    <mergeCell ref="R12:S12"/>
    <mergeCell ref="X12:Y12"/>
    <mergeCell ref="AD12:AE12"/>
    <mergeCell ref="AJ12:AK12"/>
    <mergeCell ref="AP12:AQ12"/>
    <mergeCell ref="AR13:AW13"/>
    <mergeCell ref="B16:D16"/>
    <mergeCell ref="E16:F16"/>
    <mergeCell ref="G16:G17"/>
    <mergeCell ref="B17:D17"/>
    <mergeCell ref="E17:F17"/>
    <mergeCell ref="H17:J17"/>
    <mergeCell ref="Z13:AE13"/>
    <mergeCell ref="AF13:AK13"/>
    <mergeCell ref="AL13:AQ13"/>
    <mergeCell ref="AR17:AT17"/>
    <mergeCell ref="AV17:AW17"/>
    <mergeCell ref="AX17:AZ17"/>
    <mergeCell ref="BB17:BC17"/>
    <mergeCell ref="BD17:BF17"/>
    <mergeCell ref="BH17:BI17"/>
    <mergeCell ref="L17:M17"/>
    <mergeCell ref="R17:S17"/>
    <mergeCell ref="X17:Y17"/>
    <mergeCell ref="AD17:AE17"/>
    <mergeCell ref="AJ17:AK17"/>
    <mergeCell ref="AP17:AQ17"/>
    <mergeCell ref="AJ18:AK18"/>
    <mergeCell ref="AP18:AQ18"/>
    <mergeCell ref="AR18:AW18"/>
    <mergeCell ref="AX18:BA18"/>
    <mergeCell ref="BB18:BC18"/>
    <mergeCell ref="BD18:BI18"/>
    <mergeCell ref="B18:D18"/>
    <mergeCell ref="E18:G18"/>
    <mergeCell ref="H18:M18"/>
    <mergeCell ref="R18:S18"/>
    <mergeCell ref="X18:Y18"/>
    <mergeCell ref="AD18:AE18"/>
    <mergeCell ref="AP19:AQ19"/>
    <mergeCell ref="B20:E21"/>
    <mergeCell ref="R20:S20"/>
    <mergeCell ref="X20:Y20"/>
    <mergeCell ref="AD20:AE20"/>
    <mergeCell ref="AJ20:AK20"/>
    <mergeCell ref="AP20:AQ20"/>
    <mergeCell ref="R21:S21"/>
    <mergeCell ref="X21:Y21"/>
    <mergeCell ref="AD21:AE21"/>
    <mergeCell ref="B19:E19"/>
    <mergeCell ref="F19:G19"/>
    <mergeCell ref="R19:S19"/>
    <mergeCell ref="X19:Y19"/>
    <mergeCell ref="AD19:AE19"/>
    <mergeCell ref="AJ19:AK19"/>
    <mergeCell ref="AJ21:AK21"/>
    <mergeCell ref="AP21:AQ21"/>
    <mergeCell ref="AX23:BC23"/>
    <mergeCell ref="BD23:BI23"/>
    <mergeCell ref="AV22:AW22"/>
    <mergeCell ref="AX22:AZ22"/>
    <mergeCell ref="BB22:BC22"/>
    <mergeCell ref="BD22:BF22"/>
    <mergeCell ref="BH22:BI22"/>
    <mergeCell ref="B23:C23"/>
    <mergeCell ref="D23:E23"/>
    <mergeCell ref="H23:M23"/>
    <mergeCell ref="N23:S23"/>
    <mergeCell ref="T23:Y23"/>
    <mergeCell ref="B22:E22"/>
    <mergeCell ref="F22:G22"/>
    <mergeCell ref="L22:M22"/>
    <mergeCell ref="R22:S22"/>
    <mergeCell ref="X22:Y22"/>
    <mergeCell ref="AD22:AE22"/>
    <mergeCell ref="AJ22:AK22"/>
    <mergeCell ref="AP22:AQ22"/>
    <mergeCell ref="AR23:AW23"/>
    <mergeCell ref="B26:D26"/>
    <mergeCell ref="E26:F26"/>
    <mergeCell ref="G26:G27"/>
    <mergeCell ref="B27:D27"/>
    <mergeCell ref="E27:F27"/>
    <mergeCell ref="H27:J27"/>
    <mergeCell ref="Z23:AE23"/>
    <mergeCell ref="AF23:AK23"/>
    <mergeCell ref="AL23:AQ23"/>
    <mergeCell ref="AR27:AT27"/>
    <mergeCell ref="AV27:AW27"/>
    <mergeCell ref="AX27:AZ27"/>
    <mergeCell ref="BB27:BC27"/>
    <mergeCell ref="BD27:BF27"/>
    <mergeCell ref="BH27:BI27"/>
    <mergeCell ref="L27:M27"/>
    <mergeCell ref="R27:S27"/>
    <mergeCell ref="X27:Y27"/>
    <mergeCell ref="AD27:AE27"/>
    <mergeCell ref="AJ27:AK27"/>
    <mergeCell ref="AP27:AQ27"/>
    <mergeCell ref="AJ28:AK28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P29:AQ29"/>
    <mergeCell ref="B30:E31"/>
    <mergeCell ref="R30:S30"/>
    <mergeCell ref="X30:Y30"/>
    <mergeCell ref="AD30:AE30"/>
    <mergeCell ref="AJ30:AK30"/>
    <mergeCell ref="AP30:AQ30"/>
    <mergeCell ref="R31:S31"/>
    <mergeCell ref="X31:Y31"/>
    <mergeCell ref="AD31:AE31"/>
    <mergeCell ref="B29:E29"/>
    <mergeCell ref="F29:G29"/>
    <mergeCell ref="R29:S29"/>
    <mergeCell ref="X29:Y29"/>
    <mergeCell ref="AD29:AE29"/>
    <mergeCell ref="AJ29:AK29"/>
    <mergeCell ref="AJ31:AK31"/>
    <mergeCell ref="AP31:AQ31"/>
    <mergeCell ref="AX33:BC33"/>
    <mergeCell ref="BD33:BI33"/>
    <mergeCell ref="AV32:AW32"/>
    <mergeCell ref="AX32:AZ32"/>
    <mergeCell ref="BB32:BC32"/>
    <mergeCell ref="BD32:BF32"/>
    <mergeCell ref="BH32:BI32"/>
    <mergeCell ref="B33:C33"/>
    <mergeCell ref="D33:E33"/>
    <mergeCell ref="H33:M33"/>
    <mergeCell ref="N33:S33"/>
    <mergeCell ref="T33:Y33"/>
    <mergeCell ref="B32:E32"/>
    <mergeCell ref="F32:G32"/>
    <mergeCell ref="L32:M32"/>
    <mergeCell ref="R32:S32"/>
    <mergeCell ref="X32:Y32"/>
    <mergeCell ref="AD32:AE32"/>
    <mergeCell ref="AJ32:AK32"/>
    <mergeCell ref="AP32:AQ32"/>
    <mergeCell ref="AR33:AW33"/>
    <mergeCell ref="B36:D36"/>
    <mergeCell ref="E36:F36"/>
    <mergeCell ref="G36:G37"/>
    <mergeCell ref="B37:D37"/>
    <mergeCell ref="E37:F37"/>
    <mergeCell ref="H37:J37"/>
    <mergeCell ref="Z33:AE33"/>
    <mergeCell ref="AF33:AK33"/>
    <mergeCell ref="AL33:AQ33"/>
    <mergeCell ref="AR37:AT37"/>
    <mergeCell ref="AV37:AW37"/>
    <mergeCell ref="AX37:AZ37"/>
    <mergeCell ref="BB37:BC37"/>
    <mergeCell ref="BD37:BF37"/>
    <mergeCell ref="BH37:BI37"/>
    <mergeCell ref="L37:M37"/>
    <mergeCell ref="R37:S37"/>
    <mergeCell ref="X37:Y37"/>
    <mergeCell ref="AD37:AE37"/>
    <mergeCell ref="AJ37:AK37"/>
    <mergeCell ref="AP37:AQ37"/>
    <mergeCell ref="AJ38:AK38"/>
    <mergeCell ref="AP38:AQ38"/>
    <mergeCell ref="AR38:AW38"/>
    <mergeCell ref="AX38:BA38"/>
    <mergeCell ref="BB38:BC38"/>
    <mergeCell ref="BD38:BI38"/>
    <mergeCell ref="B38:D38"/>
    <mergeCell ref="E38:G38"/>
    <mergeCell ref="H38:M38"/>
    <mergeCell ref="R38:S38"/>
    <mergeCell ref="X38:Y38"/>
    <mergeCell ref="AD38:AE38"/>
    <mergeCell ref="AP39:AQ39"/>
    <mergeCell ref="B40:E41"/>
    <mergeCell ref="R40:S40"/>
    <mergeCell ref="X40:Y40"/>
    <mergeCell ref="AD40:AE40"/>
    <mergeCell ref="AJ40:AK40"/>
    <mergeCell ref="AP40:AQ40"/>
    <mergeCell ref="R41:S41"/>
    <mergeCell ref="X41:Y41"/>
    <mergeCell ref="AD41:AE41"/>
    <mergeCell ref="B39:E39"/>
    <mergeCell ref="F39:G39"/>
    <mergeCell ref="R39:S39"/>
    <mergeCell ref="X39:Y39"/>
    <mergeCell ref="AD39:AE39"/>
    <mergeCell ref="AJ39:AK39"/>
    <mergeCell ref="AJ41:AK41"/>
    <mergeCell ref="AP41:AQ41"/>
    <mergeCell ref="AX43:BC43"/>
    <mergeCell ref="BD43:BI43"/>
    <mergeCell ref="AV42:AW42"/>
    <mergeCell ref="AX42:AZ42"/>
    <mergeCell ref="BB42:BC42"/>
    <mergeCell ref="BD42:BF42"/>
    <mergeCell ref="BH42:BI42"/>
    <mergeCell ref="B43:C43"/>
    <mergeCell ref="D43:E43"/>
    <mergeCell ref="H43:M43"/>
    <mergeCell ref="N43:S43"/>
    <mergeCell ref="T43:Y43"/>
    <mergeCell ref="B42:E42"/>
    <mergeCell ref="F42:G42"/>
    <mergeCell ref="L42:M42"/>
    <mergeCell ref="R42:S42"/>
    <mergeCell ref="X42:Y42"/>
    <mergeCell ref="AD42:AE42"/>
    <mergeCell ref="AJ42:AK42"/>
    <mergeCell ref="AP42:AQ42"/>
    <mergeCell ref="AR43:AW43"/>
    <mergeCell ref="B46:D46"/>
    <mergeCell ref="E46:F46"/>
    <mergeCell ref="G46:G47"/>
    <mergeCell ref="B47:D47"/>
    <mergeCell ref="E47:F47"/>
    <mergeCell ref="H47:J47"/>
    <mergeCell ref="Z43:AE43"/>
    <mergeCell ref="AF43:AK43"/>
    <mergeCell ref="AL43:AQ43"/>
    <mergeCell ref="AR47:AT47"/>
    <mergeCell ref="AV47:AW47"/>
    <mergeCell ref="AX47:AZ47"/>
    <mergeCell ref="BB47:BC47"/>
    <mergeCell ref="BD47:BF47"/>
    <mergeCell ref="BH47:BI47"/>
    <mergeCell ref="L47:M47"/>
    <mergeCell ref="R47:S47"/>
    <mergeCell ref="X47:Y47"/>
    <mergeCell ref="AD47:AE47"/>
    <mergeCell ref="AJ47:AK47"/>
    <mergeCell ref="AP47:AQ47"/>
    <mergeCell ref="AJ48:AK48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P49:AQ49"/>
    <mergeCell ref="B50:E51"/>
    <mergeCell ref="R50:S50"/>
    <mergeCell ref="X50:Y50"/>
    <mergeCell ref="AD50:AE50"/>
    <mergeCell ref="AJ50:AK50"/>
    <mergeCell ref="AP50:AQ50"/>
    <mergeCell ref="R51:S51"/>
    <mergeCell ref="X51:Y51"/>
    <mergeCell ref="AD51:AE51"/>
    <mergeCell ref="B49:E49"/>
    <mergeCell ref="F49:G49"/>
    <mergeCell ref="R49:S49"/>
    <mergeCell ref="X49:Y49"/>
    <mergeCell ref="AD49:AE49"/>
    <mergeCell ref="AJ49:AK49"/>
    <mergeCell ref="AJ51:AK51"/>
    <mergeCell ref="AP51:AQ51"/>
    <mergeCell ref="AX53:BC53"/>
    <mergeCell ref="BD53:BI53"/>
    <mergeCell ref="AV52:AW52"/>
    <mergeCell ref="AX52:AZ52"/>
    <mergeCell ref="BB52:BC52"/>
    <mergeCell ref="BD52:BF52"/>
    <mergeCell ref="BH52:BI52"/>
    <mergeCell ref="B53:C53"/>
    <mergeCell ref="D53:E53"/>
    <mergeCell ref="H53:M53"/>
    <mergeCell ref="N53:S53"/>
    <mergeCell ref="T53:Y53"/>
    <mergeCell ref="B52:E52"/>
    <mergeCell ref="F52:G52"/>
    <mergeCell ref="L52:M52"/>
    <mergeCell ref="R52:S52"/>
    <mergeCell ref="X52:Y52"/>
    <mergeCell ref="AD52:AE52"/>
    <mergeCell ref="AJ52:AK52"/>
    <mergeCell ref="AP52:AQ52"/>
    <mergeCell ref="AR53:AW53"/>
    <mergeCell ref="B56:D56"/>
    <mergeCell ref="E56:F56"/>
    <mergeCell ref="G56:G57"/>
    <mergeCell ref="B57:D57"/>
    <mergeCell ref="E57:F57"/>
    <mergeCell ref="H57:J57"/>
    <mergeCell ref="Z53:AE53"/>
    <mergeCell ref="AF53:AK53"/>
    <mergeCell ref="AL53:AQ53"/>
    <mergeCell ref="AR57:AT57"/>
    <mergeCell ref="AV57:AW57"/>
    <mergeCell ref="AX57:AZ57"/>
    <mergeCell ref="BB57:BC57"/>
    <mergeCell ref="BD57:BF57"/>
    <mergeCell ref="BH57:BI57"/>
    <mergeCell ref="L57:M57"/>
    <mergeCell ref="R57:S57"/>
    <mergeCell ref="X57:Y57"/>
    <mergeCell ref="AD57:AE57"/>
    <mergeCell ref="AJ57:AK57"/>
    <mergeCell ref="AP57:AQ57"/>
    <mergeCell ref="AJ58:AK58"/>
    <mergeCell ref="AP58:AQ58"/>
    <mergeCell ref="AR58:AW58"/>
    <mergeCell ref="AX58:BA58"/>
    <mergeCell ref="BB58:BC58"/>
    <mergeCell ref="BD58:BI58"/>
    <mergeCell ref="B58:D58"/>
    <mergeCell ref="E58:G58"/>
    <mergeCell ref="H58:M58"/>
    <mergeCell ref="R58:S58"/>
    <mergeCell ref="X58:Y58"/>
    <mergeCell ref="AD58:AE58"/>
    <mergeCell ref="AP59:AQ59"/>
    <mergeCell ref="B60:E61"/>
    <mergeCell ref="R60:S60"/>
    <mergeCell ref="X60:Y60"/>
    <mergeCell ref="AD60:AE60"/>
    <mergeCell ref="AJ60:AK60"/>
    <mergeCell ref="AP60:AQ60"/>
    <mergeCell ref="R61:S61"/>
    <mergeCell ref="X61:Y61"/>
    <mergeCell ref="AD61:AE61"/>
    <mergeCell ref="B59:E59"/>
    <mergeCell ref="F59:G59"/>
    <mergeCell ref="R59:S59"/>
    <mergeCell ref="X59:Y59"/>
    <mergeCell ref="AD59:AE59"/>
    <mergeCell ref="AJ59:AK59"/>
    <mergeCell ref="AJ61:AK61"/>
    <mergeCell ref="AP61:AQ61"/>
    <mergeCell ref="AX63:BC63"/>
    <mergeCell ref="BD63:BI63"/>
    <mergeCell ref="AV62:AW62"/>
    <mergeCell ref="AX62:AZ62"/>
    <mergeCell ref="BB62:BC62"/>
    <mergeCell ref="BD62:BF62"/>
    <mergeCell ref="BH62:BI62"/>
    <mergeCell ref="B63:C63"/>
    <mergeCell ref="D63:E63"/>
    <mergeCell ref="H63:M63"/>
    <mergeCell ref="N63:S63"/>
    <mergeCell ref="T63:Y63"/>
    <mergeCell ref="B62:E62"/>
    <mergeCell ref="F62:G62"/>
    <mergeCell ref="L62:M62"/>
    <mergeCell ref="R62:S62"/>
    <mergeCell ref="X62:Y62"/>
    <mergeCell ref="AD62:AE62"/>
    <mergeCell ref="AJ62:AK62"/>
    <mergeCell ref="AP62:AQ62"/>
    <mergeCell ref="AR63:AW63"/>
    <mergeCell ref="B66:D66"/>
    <mergeCell ref="E66:F66"/>
    <mergeCell ref="G66:G67"/>
    <mergeCell ref="B67:D67"/>
    <mergeCell ref="E67:F67"/>
    <mergeCell ref="H67:J67"/>
    <mergeCell ref="Z63:AE63"/>
    <mergeCell ref="AF63:AK63"/>
    <mergeCell ref="AL63:AQ63"/>
    <mergeCell ref="AR67:AT67"/>
    <mergeCell ref="AV67:AW67"/>
    <mergeCell ref="AX67:AZ67"/>
    <mergeCell ref="BB67:BC67"/>
    <mergeCell ref="BD67:BF67"/>
    <mergeCell ref="BH67:BI67"/>
    <mergeCell ref="L67:M67"/>
    <mergeCell ref="R67:S67"/>
    <mergeCell ref="X67:Y67"/>
    <mergeCell ref="AD67:AE67"/>
    <mergeCell ref="AJ67:AK67"/>
    <mergeCell ref="AP67:AQ67"/>
    <mergeCell ref="AJ68:AK68"/>
    <mergeCell ref="AP68:AQ68"/>
    <mergeCell ref="AR68:AW68"/>
    <mergeCell ref="AX68:BA68"/>
    <mergeCell ref="BB68:BC68"/>
    <mergeCell ref="BD68:BI68"/>
    <mergeCell ref="B68:D68"/>
    <mergeCell ref="E68:G68"/>
    <mergeCell ref="H68:M68"/>
    <mergeCell ref="R68:S68"/>
    <mergeCell ref="X68:Y68"/>
    <mergeCell ref="AD68:AE68"/>
    <mergeCell ref="AP69:AQ69"/>
    <mergeCell ref="B70:E71"/>
    <mergeCell ref="R70:S70"/>
    <mergeCell ref="X70:Y70"/>
    <mergeCell ref="AD70:AE70"/>
    <mergeCell ref="AJ70:AK70"/>
    <mergeCell ref="AP70:AQ70"/>
    <mergeCell ref="R71:S71"/>
    <mergeCell ref="X71:Y71"/>
    <mergeCell ref="AD71:AE71"/>
    <mergeCell ref="B69:E69"/>
    <mergeCell ref="F69:G69"/>
    <mergeCell ref="R69:S69"/>
    <mergeCell ref="X69:Y69"/>
    <mergeCell ref="AD69:AE69"/>
    <mergeCell ref="AJ69:AK69"/>
    <mergeCell ref="AV72:AW72"/>
    <mergeCell ref="AX72:AZ72"/>
    <mergeCell ref="BB72:BC72"/>
    <mergeCell ref="BD72:BF72"/>
    <mergeCell ref="BH72:BI72"/>
    <mergeCell ref="AJ71:AK71"/>
    <mergeCell ref="AP71:AQ71"/>
    <mergeCell ref="B72:E72"/>
    <mergeCell ref="F72:G72"/>
    <mergeCell ref="L72:M72"/>
    <mergeCell ref="R72:S72"/>
    <mergeCell ref="X72:Y72"/>
    <mergeCell ref="AD72:AE72"/>
    <mergeCell ref="AJ72:AK72"/>
    <mergeCell ref="AP72:AQ72"/>
  </mergeCells>
  <conditionalFormatting sqref="Z3:AE3 Z13:AE13 Z23:AE23 Z33:AE33 Z43:AE43 Z53:AE53 Z63:AE63">
    <cfRule type="notContainsBlanks" dxfId="3" priority="1">
      <formula>LEN(TRIM(Z3))&gt;0</formula>
    </cfRule>
  </conditionalFormatting>
  <conditionalFormatting sqref="H7 N7:AQ12 H12 H17:AQ22 H27:AQ32 H37:AQ42 H47:AQ52 H57:AQ62 H67:AQ72">
    <cfRule type="cellIs" dxfId="2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542D263C-A687-4356-8844-AA3A2ECA7757}">
          <x14:formula1>
            <xm:f>Wok!$A$1:$A$210</xm:f>
          </x14:formula1>
          <xm:sqref>T3 T63 T53 T43 T33 T23 T13</xm:sqref>
        </x14:dataValidation>
        <x14:dataValidation type="list" allowBlank="1" showErrorMessage="1" xr:uid="{975C5E16-0195-4BC9-AC4C-0200A85224BD}">
          <x14:formula1>
            <xm:f>Friteuse!$A$2:$A$200</xm:f>
          </x14:formula1>
          <xm:sqref>N3 N13 N23 N33 N43 N53 N63</xm:sqref>
        </x14:dataValidation>
        <x14:dataValidation type="list" allowBlank="1" showErrorMessage="1" xr:uid="{98F173C4-0CEB-490E-ACA7-2F495F7189DC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DC7263DD-5979-40E3-9C2F-2FA277F8BD63}">
          <x14:formula1>
            <xm:f>Poele!$A$2:$A$209</xm:f>
          </x14:formula1>
          <xm:sqref>Z3 Z13 Z23 Z33 Z43 Z53 Z63</xm:sqref>
        </x14:dataValidation>
        <x14:dataValidation type="list" allowBlank="1" showErrorMessage="1" xr:uid="{EC60D350-F5AD-4B2B-AB70-EA3ECC484508}">
          <x14:formula1>
            <xm:f>Four!$A$1:$A$109</xm:f>
          </x14:formula1>
          <xm:sqref>AF33 AL33</xm:sqref>
        </x14:dataValidation>
        <x14:dataValidation type="list" allowBlank="1" showErrorMessage="1" xr:uid="{23723808-DD0A-4A88-BF68-31EC5D30800F}">
          <x14:formula1>
            <xm:f>Four!$A$1:$A$77</xm:f>
          </x14:formula1>
          <xm:sqref>AF53</xm:sqref>
        </x14:dataValidation>
        <x14:dataValidation type="list" allowBlank="1" showErrorMessage="1" xr:uid="{1BCF4C9E-2B7D-44C6-BAD1-2B15D93F6869}">
          <x14:formula1>
            <xm:f>Four!$A$1:$A$217</xm:f>
          </x14:formula1>
          <xm:sqref>AF3 AL63 AF63 AL53 AL43 AF43 AL23 AF23 AL13 AF13 AL3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4A16-B7C4-4D4D-B099-3B2FA7F55108}">
  <sheetPr>
    <tabColor rgb="FF00B0F0"/>
    <pageSetUpPr fitToPage="1"/>
  </sheetPr>
  <dimension ref="A1:BI73"/>
  <sheetViews>
    <sheetView showGridLines="0" tabSelected="1" zoomScale="55" zoomScaleNormal="55" workbookViewId="0">
      <pane ySplit="2" topLeftCell="A20" activePane="bottomLeft" state="frozen"/>
      <selection activeCell="B5" sqref="B5"/>
      <selection pane="bottomLeft" activeCell="BM42" sqref="BM42"/>
    </sheetView>
  </sheetViews>
  <sheetFormatPr baseColWidth="10" defaultColWidth="14.42578125" defaultRowHeight="15" customHeight="1"/>
  <cols>
    <col min="1" max="1" width="5.42578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24" width="6.5703125" customWidth="1"/>
    <col min="25" max="25" width="7.140625" bestFit="1" customWidth="1"/>
    <col min="26" max="61" width="6.5703125" customWidth="1"/>
  </cols>
  <sheetData>
    <row r="1" spans="1:61" ht="17.25" customHeight="1" thickBot="1">
      <c r="A1" s="5" t="s">
        <v>146</v>
      </c>
      <c r="B1" s="449" t="s">
        <v>0</v>
      </c>
      <c r="C1" s="432"/>
      <c r="D1" s="498">
        <v>11</v>
      </c>
      <c r="E1" s="432"/>
      <c r="F1" s="6"/>
      <c r="G1" s="7"/>
      <c r="H1" s="496" t="s">
        <v>147</v>
      </c>
      <c r="I1" s="445"/>
      <c r="J1" s="445"/>
      <c r="K1" s="445"/>
      <c r="L1" s="445"/>
      <c r="M1" s="446"/>
      <c r="N1" s="499" t="s">
        <v>148</v>
      </c>
      <c r="O1" s="445"/>
      <c r="P1" s="445"/>
      <c r="Q1" s="445"/>
      <c r="R1" s="445"/>
      <c r="S1" s="446"/>
      <c r="T1" s="500" t="s">
        <v>170</v>
      </c>
      <c r="U1" s="445"/>
      <c r="V1" s="445"/>
      <c r="W1" s="445"/>
      <c r="X1" s="445"/>
      <c r="Y1" s="446"/>
      <c r="Z1" s="500" t="s">
        <v>171</v>
      </c>
      <c r="AA1" s="445"/>
      <c r="AB1" s="445"/>
      <c r="AC1" s="445"/>
      <c r="AD1" s="445"/>
      <c r="AE1" s="446"/>
      <c r="AF1" s="495" t="s">
        <v>172</v>
      </c>
      <c r="AG1" s="445"/>
      <c r="AH1" s="445"/>
      <c r="AI1" s="445"/>
      <c r="AJ1" s="445"/>
      <c r="AK1" s="446"/>
      <c r="AL1" s="495" t="s">
        <v>173</v>
      </c>
      <c r="AM1" s="445"/>
      <c r="AN1" s="445"/>
      <c r="AO1" s="445"/>
      <c r="AP1" s="445"/>
      <c r="AQ1" s="446"/>
      <c r="AR1" s="496" t="s">
        <v>174</v>
      </c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6"/>
      <c r="BD1" s="497" t="s">
        <v>175</v>
      </c>
      <c r="BE1" s="445"/>
      <c r="BF1" s="445"/>
      <c r="BG1" s="445"/>
      <c r="BH1" s="445"/>
      <c r="BI1" s="446"/>
    </row>
    <row r="2" spans="1:61" ht="17.25" customHeight="1" thickBot="1">
      <c r="A2" s="5"/>
      <c r="B2" s="485">
        <v>45362</v>
      </c>
      <c r="C2" s="445"/>
      <c r="D2" s="445"/>
      <c r="E2" s="446"/>
      <c r="F2" s="9"/>
      <c r="G2" s="9"/>
      <c r="H2" s="447"/>
      <c r="I2" s="434"/>
      <c r="J2" s="434"/>
      <c r="K2" s="434"/>
      <c r="L2" s="434"/>
      <c r="M2" s="435"/>
      <c r="N2" s="447"/>
      <c r="O2" s="434"/>
      <c r="P2" s="434"/>
      <c r="Q2" s="434"/>
      <c r="R2" s="434"/>
      <c r="S2" s="435"/>
      <c r="T2" s="447"/>
      <c r="U2" s="434"/>
      <c r="V2" s="434"/>
      <c r="W2" s="434"/>
      <c r="X2" s="434"/>
      <c r="Y2" s="435"/>
      <c r="Z2" s="447"/>
      <c r="AA2" s="434"/>
      <c r="AB2" s="434"/>
      <c r="AC2" s="434"/>
      <c r="AD2" s="434"/>
      <c r="AE2" s="435"/>
      <c r="AF2" s="447"/>
      <c r="AG2" s="434"/>
      <c r="AH2" s="434"/>
      <c r="AI2" s="434"/>
      <c r="AJ2" s="434"/>
      <c r="AK2" s="435"/>
      <c r="AL2" s="447"/>
      <c r="AM2" s="434"/>
      <c r="AN2" s="434"/>
      <c r="AO2" s="434"/>
      <c r="AP2" s="434"/>
      <c r="AQ2" s="435"/>
      <c r="AR2" s="447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5"/>
      <c r="BD2" s="434"/>
      <c r="BE2" s="434"/>
      <c r="BF2" s="434"/>
      <c r="BG2" s="434"/>
      <c r="BH2" s="434"/>
      <c r="BI2" s="435"/>
    </row>
    <row r="3" spans="1:61" ht="17.25" customHeight="1" thickBot="1">
      <c r="A3" s="55">
        <f>B2</f>
        <v>45362</v>
      </c>
      <c r="B3" s="486" t="s">
        <v>8</v>
      </c>
      <c r="C3" s="464"/>
      <c r="D3" s="486" t="s">
        <v>9</v>
      </c>
      <c r="E3" s="464"/>
      <c r="F3" s="329" t="s">
        <v>10</v>
      </c>
      <c r="G3" s="330"/>
      <c r="H3" s="551" t="s">
        <v>149</v>
      </c>
      <c r="I3" s="552" t="s">
        <v>149</v>
      </c>
      <c r="J3" s="552" t="s">
        <v>149</v>
      </c>
      <c r="K3" s="552" t="s">
        <v>149</v>
      </c>
      <c r="L3" s="552" t="s">
        <v>149</v>
      </c>
      <c r="M3" s="553" t="s">
        <v>149</v>
      </c>
      <c r="N3" s="488" t="s">
        <v>150</v>
      </c>
      <c r="O3" s="489" t="s">
        <v>197</v>
      </c>
      <c r="P3" s="489" t="s">
        <v>197</v>
      </c>
      <c r="Q3" s="489" t="s">
        <v>197</v>
      </c>
      <c r="R3" s="489" t="s">
        <v>197</v>
      </c>
      <c r="S3" s="490" t="s">
        <v>197</v>
      </c>
      <c r="T3" s="491" t="s">
        <v>179</v>
      </c>
      <c r="U3" s="492" t="s">
        <v>266</v>
      </c>
      <c r="V3" s="492" t="s">
        <v>266</v>
      </c>
      <c r="W3" s="492" t="s">
        <v>266</v>
      </c>
      <c r="X3" s="492" t="s">
        <v>266</v>
      </c>
      <c r="Y3" s="493" t="s">
        <v>266</v>
      </c>
      <c r="Z3" s="561" t="s">
        <v>186</v>
      </c>
      <c r="AA3" s="562" t="s">
        <v>295</v>
      </c>
      <c r="AB3" s="562" t="s">
        <v>295</v>
      </c>
      <c r="AC3" s="562" t="s">
        <v>295</v>
      </c>
      <c r="AD3" s="562" t="s">
        <v>295</v>
      </c>
      <c r="AE3" s="563" t="s">
        <v>295</v>
      </c>
      <c r="AF3" s="478" t="s">
        <v>196</v>
      </c>
      <c r="AG3" s="479" t="s">
        <v>208</v>
      </c>
      <c r="AH3" s="479" t="s">
        <v>208</v>
      </c>
      <c r="AI3" s="479" t="s">
        <v>208</v>
      </c>
      <c r="AJ3" s="479" t="s">
        <v>208</v>
      </c>
      <c r="AK3" s="480" t="s">
        <v>208</v>
      </c>
      <c r="AL3" s="567" t="s">
        <v>200</v>
      </c>
      <c r="AM3" s="479" t="s">
        <v>209</v>
      </c>
      <c r="AN3" s="479" t="s">
        <v>209</v>
      </c>
      <c r="AO3" s="479" t="s">
        <v>209</v>
      </c>
      <c r="AP3" s="479" t="s">
        <v>209</v>
      </c>
      <c r="AQ3" s="480" t="s">
        <v>209</v>
      </c>
      <c r="AR3" s="481" t="s">
        <v>18</v>
      </c>
      <c r="AS3" s="431"/>
      <c r="AT3" s="431"/>
      <c r="AU3" s="431"/>
      <c r="AV3" s="431"/>
      <c r="AW3" s="432"/>
      <c r="AX3" s="482" t="s">
        <v>154</v>
      </c>
      <c r="AY3" s="434"/>
      <c r="AZ3" s="434"/>
      <c r="BA3" s="434"/>
      <c r="BB3" s="434"/>
      <c r="BC3" s="435"/>
      <c r="BD3" s="483" t="s">
        <v>155</v>
      </c>
      <c r="BE3" s="431"/>
      <c r="BF3" s="431"/>
      <c r="BG3" s="431"/>
      <c r="BH3" s="431"/>
      <c r="BI3" s="484"/>
    </row>
    <row r="4" spans="1:61" ht="17.25" customHeight="1">
      <c r="A4" s="269"/>
      <c r="B4" s="331" t="s">
        <v>22</v>
      </c>
      <c r="C4" s="332">
        <v>130</v>
      </c>
      <c r="D4" s="331" t="s">
        <v>22</v>
      </c>
      <c r="E4" s="104">
        <v>50</v>
      </c>
      <c r="F4" s="331" t="s">
        <v>22</v>
      </c>
      <c r="G4" s="104">
        <f t="shared" ref="G4:G5" si="0">+C4+E4</f>
        <v>180</v>
      </c>
      <c r="H4" s="333" t="s">
        <v>23</v>
      </c>
      <c r="I4" s="105">
        <v>0.05</v>
      </c>
      <c r="J4" s="106">
        <f>+I4*$C4*$F9</f>
        <v>3.9</v>
      </c>
      <c r="K4" s="333" t="s">
        <v>24</v>
      </c>
      <c r="L4" s="107">
        <v>3</v>
      </c>
      <c r="M4" s="334">
        <f>L4/($F12*$C5)</f>
        <v>4.2947127314372967E-2</v>
      </c>
      <c r="N4" s="335" t="s">
        <v>23</v>
      </c>
      <c r="O4" s="108">
        <v>0.01</v>
      </c>
      <c r="P4" s="109">
        <f>+O4*$C4*$F9</f>
        <v>0.78</v>
      </c>
      <c r="Q4" s="336" t="s">
        <v>24</v>
      </c>
      <c r="R4" s="110">
        <v>0.5</v>
      </c>
      <c r="S4" s="334">
        <f>R4/($F12*$C5)</f>
        <v>7.1578545523954948E-3</v>
      </c>
      <c r="T4" s="336" t="s">
        <v>23</v>
      </c>
      <c r="U4" s="111">
        <v>0.3</v>
      </c>
      <c r="V4" s="112">
        <f>+U4*$C4*$F9</f>
        <v>23.4</v>
      </c>
      <c r="W4" s="336" t="s">
        <v>24</v>
      </c>
      <c r="X4" s="110">
        <v>20</v>
      </c>
      <c r="Y4" s="334">
        <f>X4/($F12*$C5)</f>
        <v>0.28631418209581977</v>
      </c>
      <c r="Z4" s="336" t="s">
        <v>23</v>
      </c>
      <c r="AA4" s="111">
        <v>0.03</v>
      </c>
      <c r="AB4" s="112">
        <f>+AA4*$C4*$F9</f>
        <v>2.34</v>
      </c>
      <c r="AC4" s="336" t="s">
        <v>24</v>
      </c>
      <c r="AD4" s="110">
        <v>2</v>
      </c>
      <c r="AE4" s="334">
        <f>AD4/($F12*$C5)</f>
        <v>2.8631418209581979E-2</v>
      </c>
      <c r="AF4" s="336" t="s">
        <v>23</v>
      </c>
      <c r="AG4" s="111">
        <v>0.3</v>
      </c>
      <c r="AH4" s="112">
        <f>+AG4*$C4*$F9</f>
        <v>23.4</v>
      </c>
      <c r="AI4" s="336" t="s">
        <v>24</v>
      </c>
      <c r="AJ4" s="110">
        <v>6</v>
      </c>
      <c r="AK4" s="334">
        <f>AJ4/($F12*$C5)</f>
        <v>8.5894254628745934E-2</v>
      </c>
      <c r="AL4" s="336" t="s">
        <v>23</v>
      </c>
      <c r="AM4" s="111">
        <v>0.05</v>
      </c>
      <c r="AN4" s="112">
        <f>+AM4*$C4*$F9</f>
        <v>3.9</v>
      </c>
      <c r="AO4" s="336" t="s">
        <v>24</v>
      </c>
      <c r="AP4" s="110">
        <v>3</v>
      </c>
      <c r="AQ4" s="334">
        <f>AP4/($F12*$C5)</f>
        <v>4.2947127314372967E-2</v>
      </c>
      <c r="AR4" s="333" t="s">
        <v>23</v>
      </c>
      <c r="AS4" s="105">
        <v>7.0000000000000007E-2</v>
      </c>
      <c r="AT4" s="106">
        <f>+AS4*$C4*$F9</f>
        <v>5.4600000000000009</v>
      </c>
      <c r="AU4" s="333" t="s">
        <v>24</v>
      </c>
      <c r="AV4" s="107">
        <v>4</v>
      </c>
      <c r="AW4" s="334">
        <f>AV4/($F12*$C5)</f>
        <v>5.7262836419163958E-2</v>
      </c>
      <c r="AX4" s="333" t="s">
        <v>23</v>
      </c>
      <c r="AY4" s="105">
        <v>0.43</v>
      </c>
      <c r="AZ4" s="106">
        <f>+AY4*$C4*$F9</f>
        <v>33.54</v>
      </c>
      <c r="BA4" s="333" t="s">
        <v>24</v>
      </c>
      <c r="BB4" s="107">
        <v>25</v>
      </c>
      <c r="BC4" s="334">
        <f>BB4/($F12*$C5)</f>
        <v>0.35789272761977475</v>
      </c>
      <c r="BD4" s="333" t="s">
        <v>23</v>
      </c>
      <c r="BE4" s="105">
        <v>0.02</v>
      </c>
      <c r="BF4" s="106">
        <f>+BE4*$C4*$F9</f>
        <v>1.56</v>
      </c>
      <c r="BG4" s="333" t="s">
        <v>24</v>
      </c>
      <c r="BH4" s="107">
        <v>1</v>
      </c>
      <c r="BI4" s="334">
        <f>BH4/($F12*$C5)</f>
        <v>1.431570910479099E-2</v>
      </c>
    </row>
    <row r="5" spans="1:61" ht="17.25" customHeight="1" thickBot="1">
      <c r="A5" s="278" t="s">
        <v>25</v>
      </c>
      <c r="B5" s="337" t="s">
        <v>26</v>
      </c>
      <c r="C5" s="113">
        <v>100</v>
      </c>
      <c r="D5" s="337" t="s">
        <v>26</v>
      </c>
      <c r="E5" s="114">
        <v>50</v>
      </c>
      <c r="F5" s="337" t="s">
        <v>26</v>
      </c>
      <c r="G5" s="114">
        <f t="shared" si="0"/>
        <v>150</v>
      </c>
      <c r="H5" s="115" t="s">
        <v>27</v>
      </c>
      <c r="I5" s="338">
        <v>0.03</v>
      </c>
      <c r="J5" s="339">
        <f>+I5*$E4*$F9</f>
        <v>0.89999999999999991</v>
      </c>
      <c r="K5" s="115" t="s">
        <v>28</v>
      </c>
      <c r="L5" s="340">
        <v>1</v>
      </c>
      <c r="M5" s="341">
        <f>L5/($F12*$E5)</f>
        <v>2.8631418209581979E-2</v>
      </c>
      <c r="N5" s="116" t="s">
        <v>27</v>
      </c>
      <c r="O5" s="342">
        <v>0.25</v>
      </c>
      <c r="P5" s="343">
        <f>+O5*$E4*$F9</f>
        <v>7.5</v>
      </c>
      <c r="Q5" s="117" t="s">
        <v>28</v>
      </c>
      <c r="R5" s="344">
        <v>0.5</v>
      </c>
      <c r="S5" s="341">
        <f>R5/($F12*$E5)</f>
        <v>1.431570910479099E-2</v>
      </c>
      <c r="T5" s="117" t="s">
        <v>27</v>
      </c>
      <c r="U5" s="345">
        <v>0.15</v>
      </c>
      <c r="V5" s="346">
        <f>+U5*$E4*$F9</f>
        <v>4.5</v>
      </c>
      <c r="W5" s="117" t="s">
        <v>28</v>
      </c>
      <c r="X5" s="344">
        <v>1</v>
      </c>
      <c r="Y5" s="341">
        <f>X5/($F12*$E5)</f>
        <v>2.8631418209581979E-2</v>
      </c>
      <c r="Z5" s="117" t="s">
        <v>27</v>
      </c>
      <c r="AA5" s="345">
        <v>0.03</v>
      </c>
      <c r="AB5" s="346">
        <f>+AA5*$E4*$F9</f>
        <v>0.89999999999999991</v>
      </c>
      <c r="AC5" s="117" t="s">
        <v>28</v>
      </c>
      <c r="AD5" s="344">
        <v>1</v>
      </c>
      <c r="AE5" s="341">
        <f>AD5/($F12*$E5)</f>
        <v>2.8631418209581979E-2</v>
      </c>
      <c r="AF5" s="117" t="s">
        <v>27</v>
      </c>
      <c r="AG5" s="345">
        <v>0.3</v>
      </c>
      <c r="AH5" s="346">
        <f>+AG5*$E4*$F9</f>
        <v>9</v>
      </c>
      <c r="AI5" s="117" t="s">
        <v>28</v>
      </c>
      <c r="AJ5" s="344">
        <v>3</v>
      </c>
      <c r="AK5" s="341">
        <f>AJ5/($F12*$E5)</f>
        <v>8.5894254628745934E-2</v>
      </c>
      <c r="AL5" s="117" t="s">
        <v>27</v>
      </c>
      <c r="AM5" s="345">
        <v>0.03</v>
      </c>
      <c r="AN5" s="346">
        <f>+AM5*$E4*$F9</f>
        <v>0.89999999999999991</v>
      </c>
      <c r="AO5" s="117" t="s">
        <v>28</v>
      </c>
      <c r="AP5" s="344">
        <v>1</v>
      </c>
      <c r="AQ5" s="341">
        <f>AP5/($F12*$E5)</f>
        <v>2.8631418209581979E-2</v>
      </c>
      <c r="AR5" s="115" t="s">
        <v>27</v>
      </c>
      <c r="AS5" s="338">
        <v>7.0000000000000007E-2</v>
      </c>
      <c r="AT5" s="339">
        <f>+AS5*$E4*$F9</f>
        <v>2.1</v>
      </c>
      <c r="AU5" s="115" t="s">
        <v>28</v>
      </c>
      <c r="AV5" s="340">
        <v>2</v>
      </c>
      <c r="AW5" s="341">
        <f>AV5/($F12*$E5)</f>
        <v>5.7262836419163958E-2</v>
      </c>
      <c r="AX5" s="115" t="s">
        <v>27</v>
      </c>
      <c r="AY5" s="338">
        <v>0.34</v>
      </c>
      <c r="AZ5" s="339">
        <f>+AY5*$E4*$F9</f>
        <v>10.199999999999999</v>
      </c>
      <c r="BA5" s="115" t="s">
        <v>28</v>
      </c>
      <c r="BB5" s="340">
        <v>10</v>
      </c>
      <c r="BC5" s="341">
        <f>BB5/($F12*$E5)</f>
        <v>0.28631418209581977</v>
      </c>
      <c r="BD5" s="115" t="s">
        <v>27</v>
      </c>
      <c r="BE5" s="338">
        <v>0.02</v>
      </c>
      <c r="BF5" s="339">
        <f>+BE5*$E4*$F9</f>
        <v>0.6</v>
      </c>
      <c r="BG5" s="115" t="s">
        <v>28</v>
      </c>
      <c r="BH5" s="340">
        <v>0.5</v>
      </c>
      <c r="BI5" s="341">
        <f>BH5/($F12*$E5)</f>
        <v>1.431570910479099E-2</v>
      </c>
    </row>
    <row r="6" spans="1:61" ht="17.25" customHeight="1">
      <c r="A6" s="291" t="s">
        <v>29</v>
      </c>
      <c r="B6" s="506" t="s">
        <v>30</v>
      </c>
      <c r="C6" s="454"/>
      <c r="D6" s="455"/>
      <c r="E6" s="507">
        <f>(I4+O4+U4+AA4+AG4+AM4+AS4+AY4+BE4+BE9+AY9+AS9+I9)/2</f>
        <v>0.75500000000000012</v>
      </c>
      <c r="F6" s="457"/>
      <c r="G6" s="508">
        <f>(E6+E7)</f>
        <v>1.4950000000000003</v>
      </c>
      <c r="H6" s="347" t="s">
        <v>31</v>
      </c>
      <c r="I6" s="348">
        <f>+J6/$G4</f>
        <v>2.6666666666666665E-2</v>
      </c>
      <c r="J6" s="118">
        <f>SUM(J4:J5)</f>
        <v>4.8</v>
      </c>
      <c r="K6" s="119" t="s">
        <v>31</v>
      </c>
      <c r="L6" s="349">
        <f>SUM(L4:L5)</f>
        <v>4</v>
      </c>
      <c r="M6" s="350">
        <f>L6/($F12*$G5)</f>
        <v>3.8175224279442643E-2</v>
      </c>
      <c r="N6" s="351" t="s">
        <v>31</v>
      </c>
      <c r="O6" s="352">
        <f>+P6/$G4</f>
        <v>4.5999999999999999E-2</v>
      </c>
      <c r="P6" s="120">
        <f>SUM(P4:P5)</f>
        <v>8.2799999999999994</v>
      </c>
      <c r="Q6" s="121" t="s">
        <v>31</v>
      </c>
      <c r="R6" s="353">
        <f>SUM(R4:R5)</f>
        <v>1</v>
      </c>
      <c r="S6" s="350">
        <f>R6/($F12*$G5)</f>
        <v>9.5438060698606608E-3</v>
      </c>
      <c r="T6" s="354" t="s">
        <v>31</v>
      </c>
      <c r="U6" s="355">
        <f>+V6/$G4</f>
        <v>0.155</v>
      </c>
      <c r="V6" s="122">
        <f>SUM(V4:V5)</f>
        <v>27.9</v>
      </c>
      <c r="W6" s="121" t="s">
        <v>31</v>
      </c>
      <c r="X6" s="353">
        <f>SUM(X4:X5)</f>
        <v>21</v>
      </c>
      <c r="Y6" s="350">
        <f>X6/($F12*$G5)</f>
        <v>0.20041992746707388</v>
      </c>
      <c r="Z6" s="354" t="s">
        <v>31</v>
      </c>
      <c r="AA6" s="355">
        <f>+AB6/$G4</f>
        <v>1.7999999999999999E-2</v>
      </c>
      <c r="AB6" s="122">
        <f>SUM(AB4:AB5)</f>
        <v>3.2399999999999998</v>
      </c>
      <c r="AC6" s="121" t="s">
        <v>31</v>
      </c>
      <c r="AD6" s="353">
        <f>SUM(AD4:AD5)</f>
        <v>3</v>
      </c>
      <c r="AE6" s="350">
        <f>AD6/($F12*$G5)</f>
        <v>2.8631418209581982E-2</v>
      </c>
      <c r="AF6" s="354" t="s">
        <v>31</v>
      </c>
      <c r="AG6" s="355">
        <f>+AH6/$G4</f>
        <v>0.18</v>
      </c>
      <c r="AH6" s="122">
        <f>SUM(AH4:AH5)</f>
        <v>32.4</v>
      </c>
      <c r="AI6" s="121" t="s">
        <v>31</v>
      </c>
      <c r="AJ6" s="353">
        <f>SUM(AJ4:AJ5)</f>
        <v>9</v>
      </c>
      <c r="AK6" s="350">
        <f>AJ6/($F12*$G5)</f>
        <v>8.5894254628745947E-2</v>
      </c>
      <c r="AL6" s="354" t="s">
        <v>31</v>
      </c>
      <c r="AM6" s="355">
        <f>+AN6/$G4</f>
        <v>2.6666666666666665E-2</v>
      </c>
      <c r="AN6" s="122">
        <f>SUM(AN4:AN5)</f>
        <v>4.8</v>
      </c>
      <c r="AO6" s="121" t="s">
        <v>31</v>
      </c>
      <c r="AP6" s="353">
        <f>SUM(AP4:AP5)</f>
        <v>4</v>
      </c>
      <c r="AQ6" s="350">
        <f>AP6/($F12*$G5)</f>
        <v>3.8175224279442643E-2</v>
      </c>
      <c r="AR6" s="347" t="s">
        <v>31</v>
      </c>
      <c r="AS6" s="348">
        <f>+AT6/$G4</f>
        <v>4.2000000000000003E-2</v>
      </c>
      <c r="AT6" s="118">
        <f>SUM(AT4:AT5)</f>
        <v>7.5600000000000005</v>
      </c>
      <c r="AU6" s="119" t="s">
        <v>31</v>
      </c>
      <c r="AV6" s="349">
        <f>SUM(AV4:AV5)</f>
        <v>6</v>
      </c>
      <c r="AW6" s="350">
        <f>AV6/($F12*$G5)</f>
        <v>5.7262836419163965E-2</v>
      </c>
      <c r="AX6" s="347" t="s">
        <v>31</v>
      </c>
      <c r="AY6" s="348">
        <f>+AZ6/$G4</f>
        <v>0.24299999999999997</v>
      </c>
      <c r="AZ6" s="118">
        <f>SUM(AZ4:AZ5)</f>
        <v>43.739999999999995</v>
      </c>
      <c r="BA6" s="119" t="s">
        <v>31</v>
      </c>
      <c r="BB6" s="349">
        <f>SUM(BB4:BB5)</f>
        <v>35</v>
      </c>
      <c r="BC6" s="350">
        <f>BB6/($F12*$G5)</f>
        <v>0.33403321244512313</v>
      </c>
      <c r="BD6" s="347" t="s">
        <v>31</v>
      </c>
      <c r="BE6" s="348">
        <f>+BF6/$G4</f>
        <v>1.2E-2</v>
      </c>
      <c r="BF6" s="118">
        <f>SUM(BF4:BF5)</f>
        <v>2.16</v>
      </c>
      <c r="BG6" s="119" t="s">
        <v>31</v>
      </c>
      <c r="BH6" s="349">
        <f>SUM(BH4:BH5)</f>
        <v>1.5</v>
      </c>
      <c r="BI6" s="350">
        <f>BH6/($F12*$G5)</f>
        <v>1.4315709104790991E-2</v>
      </c>
    </row>
    <row r="7" spans="1:61" ht="17.25" customHeight="1" thickBot="1">
      <c r="A7" s="291" t="s">
        <v>33</v>
      </c>
      <c r="B7" s="509" t="s">
        <v>34</v>
      </c>
      <c r="C7" s="461"/>
      <c r="D7" s="462"/>
      <c r="E7" s="510">
        <f>(I5+O5+U5+AA5+AG5+AM5+AS5+AY5+BE5+AS10+AY10+BE10+I10)/2</f>
        <v>0.74000000000000021</v>
      </c>
      <c r="F7" s="464"/>
      <c r="G7" s="459"/>
      <c r="H7" s="511" t="str">
        <f>VLOOKUP(H3,Plancha2!A:M,2,FALSE())</f>
        <v>Poisson</v>
      </c>
      <c r="I7" s="474"/>
      <c r="J7" s="474"/>
      <c r="K7" s="357"/>
      <c r="L7" s="502">
        <f>J6</f>
        <v>4.8</v>
      </c>
      <c r="M7" s="475"/>
      <c r="N7" s="358" t="str">
        <f>VLOOKUP(N3,Friteuse!A:M,2,FALSE())</f>
        <v>Falafel</v>
      </c>
      <c r="O7" s="359"/>
      <c r="P7" s="359"/>
      <c r="Q7" s="123"/>
      <c r="R7" s="502">
        <f>VLOOKUP(N3,Friteuse!A:M,3,FALSE())*P6</f>
        <v>8.2799999999999994</v>
      </c>
      <c r="S7" s="475"/>
      <c r="T7" s="356" t="str">
        <f>VLOOKUP(T3,Wok!A:M,2,FALSE())</f>
        <v>Aiguillettes</v>
      </c>
      <c r="U7" s="360"/>
      <c r="V7" s="360"/>
      <c r="W7" s="123"/>
      <c r="X7" s="502">
        <f>VLOOKUP(T3,Wok!A:M,3,FALSE())*V6</f>
        <v>18.134999999999998</v>
      </c>
      <c r="Y7" s="475"/>
      <c r="Z7" s="356" t="str">
        <f>VLOOKUP(Z3,Poele!A:M,2,FALSE())</f>
        <v>Courgettes</v>
      </c>
      <c r="AA7" s="360"/>
      <c r="AB7" s="360"/>
      <c r="AC7" s="123"/>
      <c r="AD7" s="502">
        <f>VLOOKUP(Z3,Poele!A:M,3,FALSE())*AB6</f>
        <v>0</v>
      </c>
      <c r="AE7" s="475"/>
      <c r="AF7" s="356" t="str">
        <f>VLOOKUP(AF3,Four!A:M,2,FALSE())</f>
        <v>Saucisse fumée</v>
      </c>
      <c r="AG7" s="360"/>
      <c r="AH7" s="360"/>
      <c r="AI7" s="123"/>
      <c r="AJ7" s="502">
        <f>VLOOKUP(AF3,Four!A:M,3,FALSE())*AH6</f>
        <v>12.96</v>
      </c>
      <c r="AK7" s="475"/>
      <c r="AL7" s="356" t="str">
        <f>VLOOKUP(AL3,Four!A:M,2,FALSE())</f>
        <v>Jambon CHX</v>
      </c>
      <c r="AM7" s="360"/>
      <c r="AN7" s="360"/>
      <c r="AO7" s="123"/>
      <c r="AP7" s="502">
        <f>VLOOKUP(AL3,Four!A:M,3,FALSE())*AN6</f>
        <v>4.32</v>
      </c>
      <c r="AQ7" s="475"/>
      <c r="AR7" s="504" t="s">
        <v>42</v>
      </c>
      <c r="AS7" s="461"/>
      <c r="AT7" s="461"/>
      <c r="AU7" s="357"/>
      <c r="AV7" s="502">
        <f>AT6</f>
        <v>7.5600000000000005</v>
      </c>
      <c r="AW7" s="475"/>
      <c r="AX7" s="501" t="s">
        <v>156</v>
      </c>
      <c r="AY7" s="471"/>
      <c r="AZ7" s="471"/>
      <c r="BA7" s="124"/>
      <c r="BB7" s="502">
        <f>AZ6</f>
        <v>43.739999999999995</v>
      </c>
      <c r="BC7" s="475"/>
      <c r="BD7" s="501" t="s">
        <v>157</v>
      </c>
      <c r="BE7" s="471"/>
      <c r="BF7" s="471"/>
      <c r="BG7" s="124"/>
      <c r="BH7" s="502">
        <f>BF6</f>
        <v>2.16</v>
      </c>
      <c r="BI7" s="503"/>
    </row>
    <row r="8" spans="1:61" ht="17.25" customHeight="1" thickBot="1">
      <c r="A8" s="291" t="s">
        <v>45</v>
      </c>
      <c r="B8" s="516" t="s">
        <v>46</v>
      </c>
      <c r="C8" s="445"/>
      <c r="D8" s="517"/>
      <c r="E8" s="518">
        <f>(L6+R6+X6+AD6+AJ6+AP6+AV6+BB6+BH6+BH11+(BB11*BB8/1000)+L11+AV11)/(G5*F12)</f>
        <v>1</v>
      </c>
      <c r="F8" s="474"/>
      <c r="G8" s="475"/>
      <c r="H8" s="551" t="s">
        <v>160</v>
      </c>
      <c r="I8" s="552" t="s">
        <v>223</v>
      </c>
      <c r="J8" s="552" t="s">
        <v>223</v>
      </c>
      <c r="K8" s="552" t="s">
        <v>223</v>
      </c>
      <c r="L8" s="552" t="s">
        <v>223</v>
      </c>
      <c r="M8" s="553" t="s">
        <v>223</v>
      </c>
      <c r="N8" s="358">
        <f>VLOOKUP(N3,Friteuse!A:M,4,FALSE())</f>
        <v>0</v>
      </c>
      <c r="O8" s="125"/>
      <c r="P8" s="125"/>
      <c r="Q8" s="125"/>
      <c r="R8" s="512">
        <f>VLOOKUP(N3,Friteuse!A:M,5,FALSE())*P6</f>
        <v>0</v>
      </c>
      <c r="S8" s="475"/>
      <c r="T8" s="356" t="str">
        <f>VLOOKUP(T3,Wok!A:M,4,FALSE())</f>
        <v>Chorizo</v>
      </c>
      <c r="U8" s="123"/>
      <c r="V8" s="123"/>
      <c r="W8" s="123"/>
      <c r="X8" s="512">
        <f>VLOOKUP(T3,Wok!A:M,5,FALSE())*V6</f>
        <v>5.58</v>
      </c>
      <c r="Y8" s="475"/>
      <c r="Z8" s="356" t="str">
        <f>VLOOKUP(Z3,Poele!A:M,4,FALSE())</f>
        <v>Huile</v>
      </c>
      <c r="AA8" s="123"/>
      <c r="AB8" s="123"/>
      <c r="AC8" s="123"/>
      <c r="AD8" s="512">
        <f>VLOOKUP(Z3,Poele!A:M,5,FALSE())*AB6</f>
        <v>0</v>
      </c>
      <c r="AE8" s="475"/>
      <c r="AF8" s="356" t="str">
        <f>VLOOKUP(AF3,Four!A:M,4,FALSE())</f>
        <v>Poivron R/V</v>
      </c>
      <c r="AG8" s="123"/>
      <c r="AH8" s="123"/>
      <c r="AI8" s="123"/>
      <c r="AJ8" s="512">
        <f>VLOOKUP(AF3,Four!A:M,5,FALSE())*AH6</f>
        <v>6.48</v>
      </c>
      <c r="AK8" s="475"/>
      <c r="AL8" s="356" t="str">
        <f>VLOOKUP(AL3,Four!A:M,4,FALSE())</f>
        <v>Carottes</v>
      </c>
      <c r="AM8" s="123"/>
      <c r="AN8" s="123"/>
      <c r="AO8" s="123"/>
      <c r="AP8" s="512">
        <f>VLOOKUP(AL3,Four!A:M,5,FALSE())*AN6</f>
        <v>0.24</v>
      </c>
      <c r="AQ8" s="475"/>
      <c r="AR8" s="481" t="s">
        <v>54</v>
      </c>
      <c r="AS8" s="431"/>
      <c r="AT8" s="431"/>
      <c r="AU8" s="431"/>
      <c r="AV8" s="431"/>
      <c r="AW8" s="432"/>
      <c r="AX8" s="481" t="s">
        <v>55</v>
      </c>
      <c r="AY8" s="431"/>
      <c r="AZ8" s="431"/>
      <c r="BA8" s="431"/>
      <c r="BB8" s="527">
        <v>60</v>
      </c>
      <c r="BC8" s="432"/>
      <c r="BD8" s="483" t="s">
        <v>163</v>
      </c>
      <c r="BE8" s="431"/>
      <c r="BF8" s="431"/>
      <c r="BG8" s="431"/>
      <c r="BH8" s="431"/>
      <c r="BI8" s="484"/>
    </row>
    <row r="9" spans="1:61" ht="17.25" customHeight="1" thickBot="1">
      <c r="A9" s="291" t="s">
        <v>56</v>
      </c>
      <c r="B9" s="513" t="s">
        <v>158</v>
      </c>
      <c r="C9" s="445"/>
      <c r="D9" s="445"/>
      <c r="E9" s="445"/>
      <c r="F9" s="514">
        <v>0.6</v>
      </c>
      <c r="G9" s="446"/>
      <c r="H9" s="333" t="s">
        <v>23</v>
      </c>
      <c r="I9" s="105">
        <v>7.0000000000000007E-2</v>
      </c>
      <c r="J9" s="106">
        <f>+I9*$C4*$F$9</f>
        <v>5.4600000000000009</v>
      </c>
      <c r="K9" s="333" t="s">
        <v>24</v>
      </c>
      <c r="L9" s="107">
        <v>4</v>
      </c>
      <c r="M9" s="334">
        <f>L9/($F12*$C5)</f>
        <v>5.7262836419163958E-2</v>
      </c>
      <c r="N9" s="358">
        <f>VLOOKUP(N3,Friteuse!A:M,6,FALSE())</f>
        <v>0</v>
      </c>
      <c r="O9" s="125"/>
      <c r="P9" s="125"/>
      <c r="Q9" s="125"/>
      <c r="R9" s="512">
        <f>VLOOKUP(N3,Friteuse!A:M,7,FALSE())*P6</f>
        <v>0</v>
      </c>
      <c r="S9" s="475"/>
      <c r="T9" s="356" t="str">
        <f>VLOOKUP(T3,Wok!A:M,6,FALSE())</f>
        <v>Oignon</v>
      </c>
      <c r="U9" s="123"/>
      <c r="V9" s="123"/>
      <c r="W9" s="123"/>
      <c r="X9" s="512">
        <f>VLOOKUP(T3,Wok!A:M,7,FALSE())*V6</f>
        <v>2.79</v>
      </c>
      <c r="Y9" s="475"/>
      <c r="Z9" s="356" t="str">
        <f>VLOOKUP(Z3,Poele!A:M,6,FALSE())</f>
        <v>Herbes de provence</v>
      </c>
      <c r="AA9" s="123"/>
      <c r="AB9" s="123"/>
      <c r="AC9" s="123"/>
      <c r="AD9" s="512">
        <f>VLOOKUP(Z3,Poele!A:M,7,FALSE())*AB6</f>
        <v>0</v>
      </c>
      <c r="AE9" s="475"/>
      <c r="AF9" s="356" t="str">
        <f>VLOOKUP(AF3,Four!A:M,6,FALSE())</f>
        <v>Concassé</v>
      </c>
      <c r="AG9" s="123"/>
      <c r="AH9" s="123"/>
      <c r="AI9" s="123"/>
      <c r="AJ9" s="512">
        <f>VLOOKUP(AF3,Four!A:M,7,FALSE())*AH6</f>
        <v>9.7199999999999989</v>
      </c>
      <c r="AK9" s="475"/>
      <c r="AL9" s="356" t="str">
        <f>VLOOKUP(AL3,Four!A:M,6,FALSE())</f>
        <v>Oignons</v>
      </c>
      <c r="AM9" s="123"/>
      <c r="AN9" s="123"/>
      <c r="AO9" s="123"/>
      <c r="AP9" s="512">
        <f>VLOOKUP(AL3,Four!A:M,7,FALSE())*AN6</f>
        <v>0.192</v>
      </c>
      <c r="AQ9" s="475"/>
      <c r="AR9" s="333" t="s">
        <v>23</v>
      </c>
      <c r="AS9" s="105">
        <v>0.08</v>
      </c>
      <c r="AT9" s="106">
        <f>+AS9*$C4*$F$9</f>
        <v>6.24</v>
      </c>
      <c r="AU9" s="333" t="s">
        <v>24</v>
      </c>
      <c r="AV9" s="107">
        <v>4</v>
      </c>
      <c r="AW9" s="334">
        <f>AV9/($F12*$C5)</f>
        <v>5.7262836419163958E-2</v>
      </c>
      <c r="AX9" s="361" t="s">
        <v>23</v>
      </c>
      <c r="AY9" s="105">
        <v>0.03</v>
      </c>
      <c r="AZ9" s="126">
        <f>AY9*C4*F9/(BB8/1000)</f>
        <v>39</v>
      </c>
      <c r="BA9" s="333" t="s">
        <v>24</v>
      </c>
      <c r="BB9" s="127">
        <v>25</v>
      </c>
      <c r="BC9" s="334">
        <f>(BB9*BB8/1000)/($F12*$C5)</f>
        <v>2.1473563657186483E-2</v>
      </c>
      <c r="BD9" s="333" t="s">
        <v>23</v>
      </c>
      <c r="BE9" s="105">
        <v>7.0000000000000007E-2</v>
      </c>
      <c r="BF9" s="106">
        <f>+BE9*$C4*$F$9</f>
        <v>5.4600000000000009</v>
      </c>
      <c r="BG9" s="333" t="s">
        <v>24</v>
      </c>
      <c r="BH9" s="107">
        <v>4</v>
      </c>
      <c r="BI9" s="334">
        <f>BH9/($F12*$C5)</f>
        <v>5.7262836419163958E-2</v>
      </c>
    </row>
    <row r="10" spans="1:61" ht="17.25" customHeight="1" thickBot="1">
      <c r="A10" s="278"/>
      <c r="B10" s="515" t="s">
        <v>178</v>
      </c>
      <c r="C10" s="445"/>
      <c r="D10" s="445"/>
      <c r="E10" s="446"/>
      <c r="F10" s="362">
        <f>(L4+R4+L9+X4+AD4+AJ4+AP4+AV4+AV9+BB4+BB9*(BB8/1000)+BH4+BH9)/C5</f>
        <v>0.78</v>
      </c>
      <c r="G10" s="363">
        <f>F10/(F10+F11)</f>
        <v>0.59288537549407117</v>
      </c>
      <c r="H10" s="115" t="s">
        <v>27</v>
      </c>
      <c r="I10" s="338">
        <v>7.0000000000000007E-2</v>
      </c>
      <c r="J10" s="339">
        <f>+I10*$E4*$F9</f>
        <v>2.1</v>
      </c>
      <c r="K10" s="115" t="s">
        <v>28</v>
      </c>
      <c r="L10" s="340">
        <v>2</v>
      </c>
      <c r="M10" s="341">
        <f>L10/($F12*$E5)</f>
        <v>5.7262836419163958E-2</v>
      </c>
      <c r="N10" s="356">
        <f>VLOOKUP(N3,Friteuse!A:M,8,FALSE())</f>
        <v>0</v>
      </c>
      <c r="O10" s="125"/>
      <c r="P10" s="125"/>
      <c r="Q10" s="125"/>
      <c r="R10" s="512">
        <f>VLOOKUP(N3,Friteuse!A:M,9,FALSE())*P6</f>
        <v>0</v>
      </c>
      <c r="S10" s="475"/>
      <c r="T10" s="356" t="str">
        <f>VLOOKUP(T3,Wok!A:M,8,FALSE())</f>
        <v>Crème</v>
      </c>
      <c r="U10" s="123"/>
      <c r="V10" s="123"/>
      <c r="W10" s="123"/>
      <c r="X10" s="512">
        <f>VLOOKUP(T3,Wok!A:M,9,FALSE())*V6</f>
        <v>1.395</v>
      </c>
      <c r="Y10" s="475"/>
      <c r="Z10" s="356">
        <f>VLOOKUP(Z3,Poele!A:M,8,FALSE())</f>
        <v>0</v>
      </c>
      <c r="AA10" s="123"/>
      <c r="AB10" s="123"/>
      <c r="AC10" s="123"/>
      <c r="AD10" s="512">
        <f>VLOOKUP(Z3,Poele!A:M,9,FALSE())*AB6</f>
        <v>0</v>
      </c>
      <c r="AE10" s="475"/>
      <c r="AF10" s="356" t="str">
        <f>VLOOKUP(AF3,Four!A:M,8,FALSE())</f>
        <v>Oignon</v>
      </c>
      <c r="AG10" s="123"/>
      <c r="AH10" s="123"/>
      <c r="AI10" s="123"/>
      <c r="AJ10" s="512">
        <f>VLOOKUP(AF3,Four!A:M,9,FALSE())*AH6</f>
        <v>3.24</v>
      </c>
      <c r="AK10" s="475"/>
      <c r="AL10" s="356" t="str">
        <f>VLOOKUP(AL3,Four!A:M,8,FALSE())</f>
        <v>Fond braisage</v>
      </c>
      <c r="AM10" s="123"/>
      <c r="AN10" s="123"/>
      <c r="AO10" s="123"/>
      <c r="AP10" s="512">
        <f>VLOOKUP(AL3,Four!A:M,9,FALSE())*AN6</f>
        <v>4.8000000000000001E-2</v>
      </c>
      <c r="AQ10" s="475"/>
      <c r="AR10" s="115" t="s">
        <v>27</v>
      </c>
      <c r="AS10" s="338">
        <v>0.09</v>
      </c>
      <c r="AT10" s="339">
        <f>+AS10*$E4*$F9</f>
        <v>2.6999999999999997</v>
      </c>
      <c r="AU10" s="115" t="s">
        <v>28</v>
      </c>
      <c r="AV10" s="340">
        <v>2</v>
      </c>
      <c r="AW10" s="341">
        <f>AV10/($F12*$E5)</f>
        <v>5.7262836419163958E-2</v>
      </c>
      <c r="AX10" s="128" t="s">
        <v>27</v>
      </c>
      <c r="AY10" s="338">
        <v>0.03</v>
      </c>
      <c r="AZ10" s="364">
        <f>AY10*E4*F9/(BB8/1000)</f>
        <v>14.999999999999998</v>
      </c>
      <c r="BA10" s="115" t="s">
        <v>28</v>
      </c>
      <c r="BB10" s="365">
        <v>13</v>
      </c>
      <c r="BC10" s="341">
        <f>(BB10*BB8/1000)/($F12*$E5)</f>
        <v>2.2332506203473945E-2</v>
      </c>
      <c r="BD10" s="115" t="s">
        <v>27</v>
      </c>
      <c r="BE10" s="338">
        <v>7.0000000000000007E-2</v>
      </c>
      <c r="BF10" s="339">
        <f>+BE10*$E4*$F9</f>
        <v>2.1</v>
      </c>
      <c r="BG10" s="115" t="s">
        <v>28</v>
      </c>
      <c r="BH10" s="340">
        <v>2</v>
      </c>
      <c r="BI10" s="341">
        <f>BH10/($F12*$E5)</f>
        <v>5.7262836419163958E-2</v>
      </c>
    </row>
    <row r="11" spans="1:61" ht="17.25" customHeight="1" thickBot="1">
      <c r="A11" s="278"/>
      <c r="B11" s="447"/>
      <c r="C11" s="434"/>
      <c r="D11" s="434"/>
      <c r="E11" s="435"/>
      <c r="F11" s="366">
        <f>(L5+L10+R5+X5+AD5+AJ5+AP5+AV5+AV10+BB5+BB10*(BB8/1000)+BH10+BH5)/E5</f>
        <v>0.53560000000000008</v>
      </c>
      <c r="G11" s="367">
        <f>F11/(F10+F11)</f>
        <v>0.40711462450592889</v>
      </c>
      <c r="H11" s="347" t="s">
        <v>31</v>
      </c>
      <c r="I11" s="348">
        <f>+J11/$G4</f>
        <v>4.2000000000000003E-2</v>
      </c>
      <c r="J11" s="118">
        <f>SUM(J9:J10)</f>
        <v>7.5600000000000005</v>
      </c>
      <c r="K11" s="119" t="s">
        <v>31</v>
      </c>
      <c r="L11" s="349">
        <f>SUM(L9:L10)</f>
        <v>6</v>
      </c>
      <c r="M11" s="350">
        <f>L11/($F12*$G5)</f>
        <v>5.7262836419163965E-2</v>
      </c>
      <c r="N11" s="356">
        <f>VLOOKUP(N3,Friteuse!A:M,10,FALSE())</f>
        <v>0</v>
      </c>
      <c r="O11" s="124"/>
      <c r="P11" s="124"/>
      <c r="Q11" s="124"/>
      <c r="R11" s="512">
        <f>VLOOKUP(N3,Friteuse!A:M,11,FALSE())*P6</f>
        <v>0</v>
      </c>
      <c r="S11" s="475"/>
      <c r="T11" s="356">
        <f>VLOOKUP(T3,Wok!A:M,10,FALSE())</f>
        <v>0</v>
      </c>
      <c r="U11" s="129"/>
      <c r="V11" s="129"/>
      <c r="W11" s="129"/>
      <c r="X11" s="512">
        <f>VLOOKUP(T3,Wok!A:M,11,FALSE())*V6</f>
        <v>0</v>
      </c>
      <c r="Y11" s="475"/>
      <c r="Z11" s="356">
        <f>VLOOKUP(Z3,Poele!A:M,10,FALSE())</f>
        <v>0</v>
      </c>
      <c r="AA11" s="129"/>
      <c r="AB11" s="129"/>
      <c r="AC11" s="129"/>
      <c r="AD11" s="512">
        <f>VLOOKUP(Z3,Poele!A:M,11,FALSE())*AB6</f>
        <v>0</v>
      </c>
      <c r="AE11" s="475"/>
      <c r="AF11" s="356" t="str">
        <f>VLOOKUP(AF3,Four!A:M,10,FALSE())</f>
        <v>Ail / Paprika / Gingembre</v>
      </c>
      <c r="AG11" s="129"/>
      <c r="AH11" s="129"/>
      <c r="AI11" s="129"/>
      <c r="AJ11" s="512">
        <f>VLOOKUP(AF3,Four!A:M,11,FALSE())*AH6</f>
        <v>0</v>
      </c>
      <c r="AK11" s="475"/>
      <c r="AL11" s="356">
        <f>VLOOKUP(AL3,Four!A:M,10,FALSE())</f>
        <v>0</v>
      </c>
      <c r="AM11" s="129"/>
      <c r="AN11" s="129"/>
      <c r="AO11" s="129"/>
      <c r="AP11" s="512">
        <f>VLOOKUP(AL3,Four!A:M,11,FALSE())*AN6</f>
        <v>0</v>
      </c>
      <c r="AQ11" s="475"/>
      <c r="AR11" s="347" t="s">
        <v>31</v>
      </c>
      <c r="AS11" s="348">
        <f>+AT11/$G4</f>
        <v>4.9666666666666665E-2</v>
      </c>
      <c r="AT11" s="118">
        <f>SUM(AT9:AT10)</f>
        <v>8.94</v>
      </c>
      <c r="AU11" s="119" t="s">
        <v>31</v>
      </c>
      <c r="AV11" s="349">
        <f>SUM(AV9:AV10)</f>
        <v>6</v>
      </c>
      <c r="AW11" s="350">
        <f>AV11/($F12*$G5)</f>
        <v>5.7262836419163965E-2</v>
      </c>
      <c r="AX11" s="368" t="s">
        <v>31</v>
      </c>
      <c r="AY11" s="348"/>
      <c r="AZ11" s="130">
        <f>SUM(AZ9:AZ10)</f>
        <v>54</v>
      </c>
      <c r="BA11" s="119" t="s">
        <v>31</v>
      </c>
      <c r="BB11" s="369">
        <f>SUM(BB9:BB10)</f>
        <v>38</v>
      </c>
      <c r="BC11" s="350">
        <f>(BB11*BB8/1000)/($F12*$G5)</f>
        <v>2.1759877839282304E-2</v>
      </c>
      <c r="BD11" s="347" t="s">
        <v>31</v>
      </c>
      <c r="BE11" s="348">
        <f>+BF11/$G4</f>
        <v>4.2000000000000003E-2</v>
      </c>
      <c r="BF11" s="118">
        <f>SUM(BF9:BF10)</f>
        <v>7.5600000000000005</v>
      </c>
      <c r="BG11" s="119" t="s">
        <v>31</v>
      </c>
      <c r="BH11" s="349">
        <f>SUM(BH9:BH10)</f>
        <v>6</v>
      </c>
      <c r="BI11" s="350">
        <f>BH11/($F12*$G5)</f>
        <v>5.7262836419163965E-2</v>
      </c>
    </row>
    <row r="12" spans="1:61" ht="17.25" customHeight="1" thickBot="1">
      <c r="A12" s="291"/>
      <c r="B12" s="525" t="s">
        <v>159</v>
      </c>
      <c r="C12" s="431"/>
      <c r="D12" s="431"/>
      <c r="E12" s="432"/>
      <c r="F12" s="526">
        <f>(L6+L11+R6+X6+AD6+AJ6+AP6+AV6+AV11+BB11*BB8/1000+BB6+BH6+BH11)/G5</f>
        <v>0.69853333333333334</v>
      </c>
      <c r="G12" s="435"/>
      <c r="H12" s="356" t="str">
        <f>VLOOKUP(H8,Plancha2!A:M,2,FALSE())</f>
        <v>Lamelle encornet</v>
      </c>
      <c r="I12" s="131"/>
      <c r="J12" s="124"/>
      <c r="K12" s="124"/>
      <c r="L12" s="502">
        <f>J11</f>
        <v>7.5600000000000005</v>
      </c>
      <c r="M12" s="475"/>
      <c r="N12" s="356">
        <f>VLOOKUP(N3,Friteuse!A:M,12,FALSE())</f>
        <v>0</v>
      </c>
      <c r="O12" s="357"/>
      <c r="P12" s="357"/>
      <c r="Q12" s="357"/>
      <c r="R12" s="505">
        <f>VLOOKUP(N3,Friteuse!A:M,13,FALSE())*P6</f>
        <v>0</v>
      </c>
      <c r="S12" s="435"/>
      <c r="T12" s="356">
        <f>VLOOKUP(T3,Wok!A:M,12,FALSE())</f>
        <v>0</v>
      </c>
      <c r="U12" s="370"/>
      <c r="V12" s="370"/>
      <c r="W12" s="370"/>
      <c r="X12" s="505">
        <f>VLOOKUP(T3,Wok!A:M,13,FALSE())*V6</f>
        <v>0</v>
      </c>
      <c r="Y12" s="435"/>
      <c r="Z12" s="356">
        <f>VLOOKUP(Z3,Poele!A:M,12,FALSE())</f>
        <v>0</v>
      </c>
      <c r="AA12" s="370"/>
      <c r="AB12" s="370"/>
      <c r="AC12" s="370"/>
      <c r="AD12" s="505">
        <f>VLOOKUP(Z3,Poele!A:M,13,FALSE())*AB6</f>
        <v>0</v>
      </c>
      <c r="AE12" s="435"/>
      <c r="AF12" s="356">
        <f>VLOOKUP(AF3,Four!A:M,12,FALSE())</f>
        <v>0</v>
      </c>
      <c r="AG12" s="370"/>
      <c r="AH12" s="370"/>
      <c r="AI12" s="370"/>
      <c r="AJ12" s="505">
        <f>VLOOKUP(AF3,Four!A:M,13,FALSE())*AH6</f>
        <v>0</v>
      </c>
      <c r="AK12" s="435"/>
      <c r="AL12" s="356">
        <f>VLOOKUP(AL3,Four!A:M,12,FALSE())</f>
        <v>0</v>
      </c>
      <c r="AM12" s="370"/>
      <c r="AN12" s="370"/>
      <c r="AO12" s="370"/>
      <c r="AP12" s="505">
        <f>VLOOKUP(AL3,Four!A:M,13,FALSE())*AN6</f>
        <v>0</v>
      </c>
      <c r="AQ12" s="435"/>
      <c r="AR12" s="371" t="s">
        <v>74</v>
      </c>
      <c r="AS12" s="131"/>
      <c r="AT12" s="124"/>
      <c r="AU12" s="124"/>
      <c r="AV12" s="502">
        <f>AT11</f>
        <v>8.94</v>
      </c>
      <c r="AW12" s="475"/>
      <c r="AX12" s="504" t="s">
        <v>75</v>
      </c>
      <c r="AY12" s="461"/>
      <c r="AZ12" s="461"/>
      <c r="BA12" s="372"/>
      <c r="BB12" s="502">
        <f>AZ11*(BB8/1000)</f>
        <v>3.2399999999999998</v>
      </c>
      <c r="BC12" s="475"/>
      <c r="BD12" s="524" t="s">
        <v>115</v>
      </c>
      <c r="BE12" s="461"/>
      <c r="BF12" s="461"/>
      <c r="BG12" s="372"/>
      <c r="BH12" s="502">
        <f>BF11</f>
        <v>7.5600000000000005</v>
      </c>
      <c r="BI12" s="503"/>
    </row>
    <row r="13" spans="1:61" ht="17.25" customHeight="1" thickBot="1">
      <c r="A13" s="55">
        <f>A3+1</f>
        <v>45363</v>
      </c>
      <c r="B13" s="520" t="s">
        <v>8</v>
      </c>
      <c r="C13" s="435"/>
      <c r="D13" s="520" t="s">
        <v>9</v>
      </c>
      <c r="E13" s="435"/>
      <c r="F13" s="83" t="s">
        <v>10</v>
      </c>
      <c r="G13" s="312"/>
      <c r="H13" s="551" t="s">
        <v>149</v>
      </c>
      <c r="I13" s="552" t="s">
        <v>149</v>
      </c>
      <c r="J13" s="552" t="s">
        <v>149</v>
      </c>
      <c r="K13" s="552" t="s">
        <v>149</v>
      </c>
      <c r="L13" s="552" t="s">
        <v>149</v>
      </c>
      <c r="M13" s="553" t="s">
        <v>149</v>
      </c>
      <c r="N13" s="522" t="s">
        <v>192</v>
      </c>
      <c r="O13" s="431" t="s">
        <v>150</v>
      </c>
      <c r="P13" s="431" t="s">
        <v>150</v>
      </c>
      <c r="Q13" s="431" t="s">
        <v>150</v>
      </c>
      <c r="R13" s="431" t="s">
        <v>150</v>
      </c>
      <c r="S13" s="432" t="s">
        <v>150</v>
      </c>
      <c r="T13" s="523" t="s">
        <v>181</v>
      </c>
      <c r="U13" s="431" t="s">
        <v>185</v>
      </c>
      <c r="V13" s="431" t="s">
        <v>185</v>
      </c>
      <c r="W13" s="431" t="s">
        <v>185</v>
      </c>
      <c r="X13" s="431" t="s">
        <v>185</v>
      </c>
      <c r="Y13" s="432" t="s">
        <v>185</v>
      </c>
      <c r="Z13" s="560" t="s">
        <v>195</v>
      </c>
      <c r="AA13" s="552" t="s">
        <v>280</v>
      </c>
      <c r="AB13" s="552" t="s">
        <v>280</v>
      </c>
      <c r="AC13" s="552" t="s">
        <v>280</v>
      </c>
      <c r="AD13" s="552" t="s">
        <v>280</v>
      </c>
      <c r="AE13" s="553" t="s">
        <v>280</v>
      </c>
      <c r="AF13" s="519" t="s">
        <v>196</v>
      </c>
      <c r="AG13" s="431" t="s">
        <v>208</v>
      </c>
      <c r="AH13" s="431" t="s">
        <v>208</v>
      </c>
      <c r="AI13" s="431" t="s">
        <v>208</v>
      </c>
      <c r="AJ13" s="431" t="s">
        <v>208</v>
      </c>
      <c r="AK13" s="432" t="s">
        <v>208</v>
      </c>
      <c r="AL13" s="557" t="s">
        <v>243</v>
      </c>
      <c r="AM13" s="558" t="s">
        <v>296</v>
      </c>
      <c r="AN13" s="558" t="s">
        <v>296</v>
      </c>
      <c r="AO13" s="558" t="s">
        <v>296</v>
      </c>
      <c r="AP13" s="558" t="s">
        <v>296</v>
      </c>
      <c r="AQ13" s="559" t="s">
        <v>296</v>
      </c>
      <c r="AR13" s="481" t="s">
        <v>18</v>
      </c>
      <c r="AS13" s="431"/>
      <c r="AT13" s="431"/>
      <c r="AU13" s="431"/>
      <c r="AV13" s="431"/>
      <c r="AW13" s="432"/>
      <c r="AX13" s="482" t="s">
        <v>154</v>
      </c>
      <c r="AY13" s="434"/>
      <c r="AZ13" s="434"/>
      <c r="BA13" s="434"/>
      <c r="BB13" s="434"/>
      <c r="BC13" s="435"/>
      <c r="BD13" s="483" t="s">
        <v>155</v>
      </c>
      <c r="BE13" s="431"/>
      <c r="BF13" s="431"/>
      <c r="BG13" s="431"/>
      <c r="BH13" s="431"/>
      <c r="BI13" s="484"/>
    </row>
    <row r="14" spans="1:61" ht="17.25" customHeight="1">
      <c r="A14" s="269"/>
      <c r="B14" s="270" t="s">
        <v>22</v>
      </c>
      <c r="C14" s="271">
        <v>100</v>
      </c>
      <c r="D14" s="270" t="s">
        <v>22</v>
      </c>
      <c r="E14" s="272">
        <v>50</v>
      </c>
      <c r="F14" s="270" t="s">
        <v>22</v>
      </c>
      <c r="G14" s="56">
        <f t="shared" ref="G14:G15" si="1">+C14+E14</f>
        <v>150</v>
      </c>
      <c r="H14" s="276" t="s">
        <v>23</v>
      </c>
      <c r="I14" s="62">
        <v>0.05</v>
      </c>
      <c r="J14" s="63">
        <f>+I14*$C14*$F19</f>
        <v>3</v>
      </c>
      <c r="K14" s="276" t="s">
        <v>24</v>
      </c>
      <c r="L14" s="64">
        <v>3</v>
      </c>
      <c r="M14" s="277">
        <f>L14/($F22*$C15)</f>
        <v>5.1264524948735471E-2</v>
      </c>
      <c r="N14" s="273" t="s">
        <v>23</v>
      </c>
      <c r="O14" s="57">
        <v>0.01</v>
      </c>
      <c r="P14" s="58">
        <f>+O14*$C14*$F19</f>
        <v>0.6</v>
      </c>
      <c r="Q14" s="273" t="s">
        <v>24</v>
      </c>
      <c r="R14" s="84">
        <v>0.5</v>
      </c>
      <c r="S14" s="313">
        <f>R14/($F22*$C15)</f>
        <v>8.5440874914559112E-3</v>
      </c>
      <c r="T14" s="274" t="s">
        <v>23</v>
      </c>
      <c r="U14" s="60">
        <v>0.05</v>
      </c>
      <c r="V14" s="61">
        <f>+U14*$C14*$F19</f>
        <v>3</v>
      </c>
      <c r="W14" s="274" t="s">
        <v>24</v>
      </c>
      <c r="X14" s="59">
        <v>3</v>
      </c>
      <c r="Y14" s="275">
        <f>X14/($F22*$C15)</f>
        <v>5.1264524948735471E-2</v>
      </c>
      <c r="Z14" s="274" t="s">
        <v>23</v>
      </c>
      <c r="AA14" s="60">
        <v>0.03</v>
      </c>
      <c r="AB14" s="61">
        <f>+AA14*$C14*$F19</f>
        <v>1.7999999999999998</v>
      </c>
      <c r="AC14" s="274" t="s">
        <v>24</v>
      </c>
      <c r="AD14" s="59">
        <v>2</v>
      </c>
      <c r="AE14" s="275">
        <f>AD14/($F22*$C15)</f>
        <v>3.4176349965823645E-2</v>
      </c>
      <c r="AF14" s="274" t="s">
        <v>23</v>
      </c>
      <c r="AG14" s="60">
        <v>0.1</v>
      </c>
      <c r="AH14" s="61">
        <f>+AG14*$C14*$F19</f>
        <v>6</v>
      </c>
      <c r="AI14" s="274" t="s">
        <v>24</v>
      </c>
      <c r="AJ14" s="59">
        <v>6</v>
      </c>
      <c r="AK14" s="275">
        <f>AJ14/($F22*$C15)</f>
        <v>0.10252904989747094</v>
      </c>
      <c r="AL14" s="274" t="s">
        <v>23</v>
      </c>
      <c r="AM14" s="60">
        <v>0.05</v>
      </c>
      <c r="AN14" s="61">
        <f>+AM14*$C14*$F19</f>
        <v>3</v>
      </c>
      <c r="AO14" s="274" t="s">
        <v>24</v>
      </c>
      <c r="AP14" s="59">
        <v>3</v>
      </c>
      <c r="AQ14" s="275">
        <f>AP14/($F22*$C15)</f>
        <v>5.1264524948735471E-2</v>
      </c>
      <c r="AR14" s="276" t="s">
        <v>23</v>
      </c>
      <c r="AS14" s="62">
        <v>0.08</v>
      </c>
      <c r="AT14" s="63">
        <f>+AS14*$C14*$F19</f>
        <v>4.8</v>
      </c>
      <c r="AU14" s="276" t="s">
        <v>24</v>
      </c>
      <c r="AV14" s="64">
        <v>4</v>
      </c>
      <c r="AW14" s="277">
        <f>AV14/($F22*$C15)</f>
        <v>6.835269993164729E-2</v>
      </c>
      <c r="AX14" s="276" t="s">
        <v>23</v>
      </c>
      <c r="AY14" s="62">
        <v>0.43</v>
      </c>
      <c r="AZ14" s="63">
        <f>+AY14*$C14*$F19</f>
        <v>25.8</v>
      </c>
      <c r="BA14" s="276" t="s">
        <v>24</v>
      </c>
      <c r="BB14" s="64">
        <v>25</v>
      </c>
      <c r="BC14" s="277">
        <f>BB14/($F22*$C15)</f>
        <v>0.42720437457279559</v>
      </c>
      <c r="BD14" s="276" t="s">
        <v>23</v>
      </c>
      <c r="BE14" s="62">
        <v>0.02</v>
      </c>
      <c r="BF14" s="63">
        <f>+BE14*$C14*$F19</f>
        <v>1.2</v>
      </c>
      <c r="BG14" s="276" t="s">
        <v>24</v>
      </c>
      <c r="BH14" s="64">
        <v>1</v>
      </c>
      <c r="BI14" s="65">
        <f>BH14/($F22*$C15)</f>
        <v>1.7088174982911822E-2</v>
      </c>
    </row>
    <row r="15" spans="1:61" ht="17.25" customHeight="1" thickBot="1">
      <c r="A15" s="278" t="s">
        <v>79</v>
      </c>
      <c r="B15" s="266" t="s">
        <v>26</v>
      </c>
      <c r="C15" s="66">
        <v>100</v>
      </c>
      <c r="D15" s="266" t="s">
        <v>26</v>
      </c>
      <c r="E15" s="67">
        <v>50</v>
      </c>
      <c r="F15" s="266" t="s">
        <v>26</v>
      </c>
      <c r="G15" s="279">
        <f t="shared" si="1"/>
        <v>150</v>
      </c>
      <c r="H15" s="70" t="s">
        <v>27</v>
      </c>
      <c r="I15" s="286">
        <v>0.03</v>
      </c>
      <c r="J15" s="287">
        <f>+I15*$E14*$F19</f>
        <v>0.89999999999999991</v>
      </c>
      <c r="K15" s="70" t="s">
        <v>28</v>
      </c>
      <c r="L15" s="288">
        <v>1</v>
      </c>
      <c r="M15" s="289">
        <f>L15/($F22*$E15)</f>
        <v>3.4176349965823645E-2</v>
      </c>
      <c r="N15" s="68" t="s">
        <v>27</v>
      </c>
      <c r="O15" s="280">
        <v>0.02</v>
      </c>
      <c r="P15" s="281">
        <f>+O15*$E14*$F19</f>
        <v>0.6</v>
      </c>
      <c r="Q15" s="68" t="s">
        <v>28</v>
      </c>
      <c r="R15" s="314">
        <v>0.5</v>
      </c>
      <c r="S15" s="315">
        <f>R15/($F22*$E15)</f>
        <v>1.7088174982911822E-2</v>
      </c>
      <c r="T15" s="69" t="s">
        <v>27</v>
      </c>
      <c r="U15" s="284">
        <v>0.03</v>
      </c>
      <c r="V15" s="285">
        <f>+U15*$E14*$F19</f>
        <v>0.89999999999999991</v>
      </c>
      <c r="W15" s="69" t="s">
        <v>28</v>
      </c>
      <c r="X15" s="282">
        <v>1</v>
      </c>
      <c r="Y15" s="283">
        <f>X15/($F22*$E15)</f>
        <v>3.4176349965823645E-2</v>
      </c>
      <c r="Z15" s="69" t="s">
        <v>27</v>
      </c>
      <c r="AA15" s="284">
        <v>0.03</v>
      </c>
      <c r="AB15" s="285">
        <f>+AA15*$E14*$F19</f>
        <v>0.89999999999999991</v>
      </c>
      <c r="AC15" s="69" t="s">
        <v>28</v>
      </c>
      <c r="AD15" s="282">
        <v>1</v>
      </c>
      <c r="AE15" s="283">
        <f>AD15/($F22*$E15)</f>
        <v>3.4176349965823645E-2</v>
      </c>
      <c r="AF15" s="69" t="s">
        <v>27</v>
      </c>
      <c r="AG15" s="284">
        <v>0.1</v>
      </c>
      <c r="AH15" s="285">
        <f>+AG15*$E14*$F19</f>
        <v>3</v>
      </c>
      <c r="AI15" s="69" t="s">
        <v>28</v>
      </c>
      <c r="AJ15" s="282">
        <v>3</v>
      </c>
      <c r="AK15" s="283">
        <f>AJ15/($F22*$E15)</f>
        <v>0.10252904989747094</v>
      </c>
      <c r="AL15" s="69" t="s">
        <v>27</v>
      </c>
      <c r="AM15" s="284">
        <v>0.03</v>
      </c>
      <c r="AN15" s="285">
        <f>+AM15*$E14*$F19</f>
        <v>0.89999999999999991</v>
      </c>
      <c r="AO15" s="69" t="s">
        <v>28</v>
      </c>
      <c r="AP15" s="282">
        <v>1</v>
      </c>
      <c r="AQ15" s="283">
        <f>AP15/($F22*$E15)</f>
        <v>3.4176349965823645E-2</v>
      </c>
      <c r="AR15" s="70" t="s">
        <v>27</v>
      </c>
      <c r="AS15" s="286">
        <v>0.09</v>
      </c>
      <c r="AT15" s="287">
        <f>+AS15*$E14*$F19</f>
        <v>2.6999999999999997</v>
      </c>
      <c r="AU15" s="70" t="s">
        <v>28</v>
      </c>
      <c r="AV15" s="288">
        <v>2</v>
      </c>
      <c r="AW15" s="289">
        <f>AV15/($F22*$E15)</f>
        <v>6.835269993164729E-2</v>
      </c>
      <c r="AX15" s="70" t="s">
        <v>27</v>
      </c>
      <c r="AY15" s="286">
        <v>0.34</v>
      </c>
      <c r="AZ15" s="287">
        <f>+AY15*$E14*$F19</f>
        <v>10.199999999999999</v>
      </c>
      <c r="BA15" s="70" t="s">
        <v>28</v>
      </c>
      <c r="BB15" s="288">
        <v>10</v>
      </c>
      <c r="BC15" s="289">
        <f>BB15/($F22*$E15)</f>
        <v>0.34176349965823649</v>
      </c>
      <c r="BD15" s="70" t="s">
        <v>27</v>
      </c>
      <c r="BE15" s="286">
        <v>0.02</v>
      </c>
      <c r="BF15" s="287">
        <f>+BE15*$E14*$F19</f>
        <v>0.6</v>
      </c>
      <c r="BG15" s="70" t="s">
        <v>28</v>
      </c>
      <c r="BH15" s="288">
        <v>0.5</v>
      </c>
      <c r="BI15" s="290">
        <f>BH15/($F22*$E15)</f>
        <v>1.7088174982911822E-2</v>
      </c>
    </row>
    <row r="16" spans="1:61" ht="17.25" customHeight="1">
      <c r="A16" s="291" t="s">
        <v>80</v>
      </c>
      <c r="B16" s="532" t="s">
        <v>30</v>
      </c>
      <c r="C16" s="454"/>
      <c r="D16" s="455"/>
      <c r="E16" s="533">
        <f>(I14+O14+U14+AA14+AG14+AM14+AS14+AY14+BE14+BE19+AY19+AS19+I19)/2</f>
        <v>0.53500000000000014</v>
      </c>
      <c r="F16" s="457"/>
      <c r="G16" s="534">
        <f>(E16+E17)</f>
        <v>1.0100000000000002</v>
      </c>
      <c r="H16" s="298" t="s">
        <v>31</v>
      </c>
      <c r="I16" s="299">
        <f>+J16/$G14</f>
        <v>2.5999999999999999E-2</v>
      </c>
      <c r="J16" s="74">
        <f>SUM(J14:J15)</f>
        <v>3.9</v>
      </c>
      <c r="K16" s="75" t="s">
        <v>31</v>
      </c>
      <c r="L16" s="300">
        <f>SUM(L14:L15)</f>
        <v>4</v>
      </c>
      <c r="M16" s="301">
        <f>L16/($F22*$G15)</f>
        <v>4.5568466621098203E-2</v>
      </c>
      <c r="N16" s="292" t="s">
        <v>31</v>
      </c>
      <c r="O16" s="293">
        <f>+P16/$G14</f>
        <v>8.0000000000000002E-3</v>
      </c>
      <c r="P16" s="71">
        <f>SUM(P14:P15)</f>
        <v>1.2</v>
      </c>
      <c r="Q16" s="85" t="s">
        <v>31</v>
      </c>
      <c r="R16" s="316">
        <f>SUM(R14:R15)</f>
        <v>1</v>
      </c>
      <c r="S16" s="295">
        <f>R16/($F22*$G15)</f>
        <v>1.1392116655274551E-2</v>
      </c>
      <c r="T16" s="296" t="s">
        <v>31</v>
      </c>
      <c r="U16" s="297">
        <f>+V16/$G14</f>
        <v>2.5999999999999999E-2</v>
      </c>
      <c r="V16" s="73">
        <f>SUM(V14:V15)</f>
        <v>3.9</v>
      </c>
      <c r="W16" s="72" t="s">
        <v>31</v>
      </c>
      <c r="X16" s="294">
        <f>SUM(X14:X15)</f>
        <v>4</v>
      </c>
      <c r="Y16" s="295">
        <f>X16/($F22*$G15)</f>
        <v>4.5568466621098203E-2</v>
      </c>
      <c r="Z16" s="296" t="s">
        <v>31</v>
      </c>
      <c r="AA16" s="297">
        <f>+AB16/$G14</f>
        <v>1.7999999999999999E-2</v>
      </c>
      <c r="AB16" s="73">
        <f>SUM(AB14:AB15)</f>
        <v>2.6999999999999997</v>
      </c>
      <c r="AC16" s="72" t="s">
        <v>31</v>
      </c>
      <c r="AD16" s="294">
        <f>SUM(AD14:AD15)</f>
        <v>3</v>
      </c>
      <c r="AE16" s="295">
        <f>AD16/($F22*$G15)</f>
        <v>3.4176349965823652E-2</v>
      </c>
      <c r="AF16" s="296" t="s">
        <v>31</v>
      </c>
      <c r="AG16" s="297">
        <f>+AH16/$G14</f>
        <v>0.06</v>
      </c>
      <c r="AH16" s="73">
        <f>SUM(AH14:AH15)</f>
        <v>9</v>
      </c>
      <c r="AI16" s="72" t="s">
        <v>31</v>
      </c>
      <c r="AJ16" s="294">
        <f>SUM(AJ14:AJ15)</f>
        <v>9</v>
      </c>
      <c r="AK16" s="295">
        <f>AJ16/($F22*$G15)</f>
        <v>0.10252904989747094</v>
      </c>
      <c r="AL16" s="296" t="s">
        <v>31</v>
      </c>
      <c r="AM16" s="297">
        <f>+AN16/$G14</f>
        <v>2.5999999999999999E-2</v>
      </c>
      <c r="AN16" s="73">
        <f>SUM(AN14:AN15)</f>
        <v>3.9</v>
      </c>
      <c r="AO16" s="72" t="s">
        <v>31</v>
      </c>
      <c r="AP16" s="294">
        <f>SUM(AP14:AP15)</f>
        <v>4</v>
      </c>
      <c r="AQ16" s="295">
        <f>AP16/($F22*$G15)</f>
        <v>4.5568466621098203E-2</v>
      </c>
      <c r="AR16" s="298" t="s">
        <v>31</v>
      </c>
      <c r="AS16" s="299">
        <f>+AT16/$G14</f>
        <v>0.05</v>
      </c>
      <c r="AT16" s="74">
        <f>SUM(AT14:AT15)</f>
        <v>7.5</v>
      </c>
      <c r="AU16" s="75" t="s">
        <v>31</v>
      </c>
      <c r="AV16" s="300">
        <f>SUM(AV14:AV15)</f>
        <v>6</v>
      </c>
      <c r="AW16" s="301">
        <f>AV16/($F22*$G15)</f>
        <v>6.8352699931647304E-2</v>
      </c>
      <c r="AX16" s="298" t="s">
        <v>31</v>
      </c>
      <c r="AY16" s="299">
        <f>+AZ16/$G14</f>
        <v>0.24</v>
      </c>
      <c r="AZ16" s="74">
        <f>SUM(AZ14:AZ15)</f>
        <v>36</v>
      </c>
      <c r="BA16" s="75" t="s">
        <v>31</v>
      </c>
      <c r="BB16" s="300">
        <f>SUM(BB14:BB15)</f>
        <v>35</v>
      </c>
      <c r="BC16" s="301">
        <f>BB16/($F22*$G15)</f>
        <v>0.39872408293460926</v>
      </c>
      <c r="BD16" s="298" t="s">
        <v>31</v>
      </c>
      <c r="BE16" s="299">
        <f>+BF16/$G14</f>
        <v>1.1999999999999999E-2</v>
      </c>
      <c r="BF16" s="74">
        <f>SUM(BF14:BF15)</f>
        <v>1.7999999999999998</v>
      </c>
      <c r="BG16" s="75" t="s">
        <v>31</v>
      </c>
      <c r="BH16" s="300">
        <f>SUM(BH14:BH15)</f>
        <v>1.5</v>
      </c>
      <c r="BI16" s="76">
        <f>BH16/($F22*$G15)</f>
        <v>1.7088174982911826E-2</v>
      </c>
    </row>
    <row r="17" spans="1:61" ht="17.25" customHeight="1" thickBot="1">
      <c r="A17" s="291" t="s">
        <v>81</v>
      </c>
      <c r="B17" s="535" t="s">
        <v>34</v>
      </c>
      <c r="C17" s="461"/>
      <c r="D17" s="462"/>
      <c r="E17" s="536">
        <f>(I15+O15+U15+AA15+AG15+AM15+AS15+AY15+BE15+AS20+AY20+BE20+I20)/2</f>
        <v>0.47500000000000009</v>
      </c>
      <c r="F17" s="464"/>
      <c r="G17" s="459"/>
      <c r="H17" s="537" t="str">
        <f>VLOOKUP(H13,Plancha2!A:M,2,FALSE())</f>
        <v>Poisson</v>
      </c>
      <c r="I17" s="474"/>
      <c r="J17" s="474"/>
      <c r="K17" s="306"/>
      <c r="L17" s="529">
        <f>J16</f>
        <v>3.9</v>
      </c>
      <c r="M17" s="475"/>
      <c r="N17" s="304" t="str">
        <f>VLOOKUP(N13,Friteuse!A:M,2,FALSE())</f>
        <v>Oeuf</v>
      </c>
      <c r="O17" s="305"/>
      <c r="P17" s="305"/>
      <c r="Q17" s="77"/>
      <c r="R17" s="529">
        <f>VLOOKUP(N13,Friteuse!A:M,3,FALSE())*P16</f>
        <v>0.24</v>
      </c>
      <c r="S17" s="475"/>
      <c r="T17" s="302" t="str">
        <f>VLOOKUP(T13,Wok!A:M,2,FALSE())</f>
        <v>Aiguillettes</v>
      </c>
      <c r="U17" s="303"/>
      <c r="V17" s="303"/>
      <c r="W17" s="77"/>
      <c r="X17" s="529">
        <f>VLOOKUP(T13,Wok!A:M,3,FALSE())*V16</f>
        <v>2.5350000000000001</v>
      </c>
      <c r="Y17" s="475"/>
      <c r="Z17" s="302" t="str">
        <f>VLOOKUP(Z13,Poele!A:M,2,FALSE())</f>
        <v>Nouille</v>
      </c>
      <c r="AA17" s="303"/>
      <c r="AB17" s="303"/>
      <c r="AC17" s="77"/>
      <c r="AD17" s="529">
        <f>VLOOKUP(Z13,Poele!A:M,3,FALSE())*AB16</f>
        <v>0.43199999999999994</v>
      </c>
      <c r="AE17" s="475"/>
      <c r="AF17" s="302" t="str">
        <f>VLOOKUP(AF13,Four!A:M,2,FALSE())</f>
        <v>Saucisse fumée</v>
      </c>
      <c r="AG17" s="303"/>
      <c r="AH17" s="303"/>
      <c r="AI17" s="77"/>
      <c r="AJ17" s="529">
        <f>VLOOKUP(AF13,Four!A:M,3,FALSE())*AH16</f>
        <v>3.6</v>
      </c>
      <c r="AK17" s="475"/>
      <c r="AL17" s="302" t="str">
        <f>VLOOKUP(AL13,Four!A:M,2,FALSE())</f>
        <v>Pâte lasagne</v>
      </c>
      <c r="AM17" s="303"/>
      <c r="AN17" s="303"/>
      <c r="AO17" s="77"/>
      <c r="AP17" s="529">
        <f>VLOOKUP(AL13,Four!A:M,3,FALSE())*AN16</f>
        <v>0.50700000000000001</v>
      </c>
      <c r="AQ17" s="475"/>
      <c r="AR17" s="538" t="s">
        <v>42</v>
      </c>
      <c r="AS17" s="461"/>
      <c r="AT17" s="461"/>
      <c r="AU17" s="306"/>
      <c r="AV17" s="529">
        <f>AT16</f>
        <v>7.5</v>
      </c>
      <c r="AW17" s="475"/>
      <c r="AX17" s="528" t="s">
        <v>156</v>
      </c>
      <c r="AY17" s="471"/>
      <c r="AZ17" s="471"/>
      <c r="BA17" s="78"/>
      <c r="BB17" s="529">
        <f>AZ16</f>
        <v>36</v>
      </c>
      <c r="BC17" s="475"/>
      <c r="BD17" s="528" t="s">
        <v>157</v>
      </c>
      <c r="BE17" s="471"/>
      <c r="BF17" s="471"/>
      <c r="BG17" s="78"/>
      <c r="BH17" s="529">
        <f>BF16</f>
        <v>1.7999999999999998</v>
      </c>
      <c r="BI17" s="503"/>
    </row>
    <row r="18" spans="1:61" ht="17.25" customHeight="1" thickBot="1">
      <c r="A18" s="291" t="s">
        <v>45</v>
      </c>
      <c r="B18" s="539" t="s">
        <v>46</v>
      </c>
      <c r="C18" s="445"/>
      <c r="D18" s="517"/>
      <c r="E18" s="540">
        <f>(L16+R16+X16+AD16+AJ16+AP16+AV16+BB16+BH16+BH21+(BB21*BB18/1000)+L21+AV21)/(G15*F22)</f>
        <v>1</v>
      </c>
      <c r="F18" s="474"/>
      <c r="G18" s="475"/>
      <c r="H18" s="551" t="s">
        <v>160</v>
      </c>
      <c r="I18" s="552"/>
      <c r="J18" s="552"/>
      <c r="K18" s="552"/>
      <c r="L18" s="552"/>
      <c r="M18" s="553"/>
      <c r="N18" s="304" t="str">
        <f>VLOOKUP(N13,Friteuse!A:M,4,FALSE())</f>
        <v>Carotte</v>
      </c>
      <c r="O18" s="79"/>
      <c r="P18" s="79"/>
      <c r="Q18" s="79"/>
      <c r="R18" s="530">
        <f>VLOOKUP(N13,Friteuse!A:M,5,FALSE())*P16</f>
        <v>0.54</v>
      </c>
      <c r="S18" s="475"/>
      <c r="T18" s="302" t="str">
        <f>VLOOKUP(T13,Wok!A:M,4,FALSE())</f>
        <v>Champignons</v>
      </c>
      <c r="U18" s="77"/>
      <c r="V18" s="77"/>
      <c r="W18" s="77"/>
      <c r="X18" s="530">
        <f>VLOOKUP(T13,Wok!A:M,5,FALSE())*V16</f>
        <v>0.39</v>
      </c>
      <c r="Y18" s="475"/>
      <c r="Z18" s="302" t="str">
        <f>VLOOKUP(Z13,Poele!A:M,4,FALSE())</f>
        <v>Poivron vert/rouge</v>
      </c>
      <c r="AA18" s="77"/>
      <c r="AB18" s="77"/>
      <c r="AC18" s="77"/>
      <c r="AD18" s="530">
        <f>VLOOKUP(Z13,Poele!A:M,5,FALSE())*AB16</f>
        <v>0.67499999999999993</v>
      </c>
      <c r="AE18" s="475"/>
      <c r="AF18" s="302" t="str">
        <f>VLOOKUP(AF13,Four!A:M,4,FALSE())</f>
        <v>Poivron R/V</v>
      </c>
      <c r="AG18" s="77"/>
      <c r="AH18" s="77"/>
      <c r="AI18" s="77"/>
      <c r="AJ18" s="530">
        <f>VLOOKUP(AF13,Four!A:M,5,FALSE())*AH16</f>
        <v>1.8</v>
      </c>
      <c r="AK18" s="475"/>
      <c r="AL18" s="302" t="str">
        <f>VLOOKUP(AL13,Four!A:M,4,FALSE())</f>
        <v>Chèvre buche</v>
      </c>
      <c r="AM18" s="77"/>
      <c r="AN18" s="77"/>
      <c r="AO18" s="77"/>
      <c r="AP18" s="530">
        <f>VLOOKUP(AL13,Four!A:M,5,FALSE())*AN16</f>
        <v>0.35099999999999998</v>
      </c>
      <c r="AQ18" s="475"/>
      <c r="AR18" s="481" t="s">
        <v>54</v>
      </c>
      <c r="AS18" s="431"/>
      <c r="AT18" s="431"/>
      <c r="AU18" s="431"/>
      <c r="AV18" s="431"/>
      <c r="AW18" s="432"/>
      <c r="AX18" s="481" t="s">
        <v>55</v>
      </c>
      <c r="AY18" s="431"/>
      <c r="AZ18" s="431"/>
      <c r="BA18" s="431"/>
      <c r="BB18" s="531">
        <v>60</v>
      </c>
      <c r="BC18" s="432"/>
      <c r="BD18" s="483" t="s">
        <v>163</v>
      </c>
      <c r="BE18" s="431"/>
      <c r="BF18" s="431"/>
      <c r="BG18" s="431"/>
      <c r="BH18" s="431"/>
      <c r="BI18" s="484"/>
    </row>
    <row r="19" spans="1:61" ht="17.25" customHeight="1" thickBot="1">
      <c r="A19" s="291" t="s">
        <v>56</v>
      </c>
      <c r="B19" s="513" t="s">
        <v>158</v>
      </c>
      <c r="C19" s="445"/>
      <c r="D19" s="445"/>
      <c r="E19" s="445"/>
      <c r="F19" s="541">
        <v>0.6</v>
      </c>
      <c r="G19" s="446"/>
      <c r="H19" s="276" t="s">
        <v>23</v>
      </c>
      <c r="I19" s="62">
        <v>7.0000000000000007E-2</v>
      </c>
      <c r="J19" s="63">
        <f>+I19*$C14*$F$9</f>
        <v>4.2</v>
      </c>
      <c r="K19" s="276" t="s">
        <v>24</v>
      </c>
      <c r="L19" s="64">
        <v>4</v>
      </c>
      <c r="M19" s="277">
        <f>L19/($F22*$C15)</f>
        <v>6.835269993164729E-2</v>
      </c>
      <c r="N19" s="304" t="str">
        <f>VLOOKUP(N13,Friteuse!A:M,6,FALSE())</f>
        <v>Farine</v>
      </c>
      <c r="O19" s="79"/>
      <c r="P19" s="79"/>
      <c r="Q19" s="79"/>
      <c r="R19" s="530">
        <f>VLOOKUP(N13,Friteuse!A:M,7,FALSE())*P16</f>
        <v>0.36</v>
      </c>
      <c r="S19" s="475"/>
      <c r="T19" s="302" t="str">
        <f>VLOOKUP(T13,Wok!A:M,6,FALSE())</f>
        <v>Courgettes</v>
      </c>
      <c r="U19" s="77"/>
      <c r="V19" s="77"/>
      <c r="W19" s="77"/>
      <c r="X19" s="530">
        <f>VLOOKUP(T13,Wok!A:M,7,FALSE())*V16</f>
        <v>0.39</v>
      </c>
      <c r="Y19" s="475"/>
      <c r="Z19" s="302" t="str">
        <f>VLOOKUP(Z13,Poele!A:M,6,FALSE())</f>
        <v>Pois gourmand</v>
      </c>
      <c r="AA19" s="77"/>
      <c r="AB19" s="77"/>
      <c r="AC19" s="77"/>
      <c r="AD19" s="530">
        <f>VLOOKUP(Z13,Poele!A:M,7,FALSE())*AB16</f>
        <v>0.35099999999999998</v>
      </c>
      <c r="AE19" s="475"/>
      <c r="AF19" s="302" t="str">
        <f>VLOOKUP(AF13,Four!A:M,6,FALSE())</f>
        <v>Concassé</v>
      </c>
      <c r="AG19" s="77"/>
      <c r="AH19" s="77"/>
      <c r="AI19" s="77"/>
      <c r="AJ19" s="530">
        <f>VLOOKUP(AF13,Four!A:M,7,FALSE())*AH16</f>
        <v>2.6999999999999997</v>
      </c>
      <c r="AK19" s="475"/>
      <c r="AL19" s="302" t="str">
        <f>VLOOKUP(AL13,Four!A:M,6,FALSE())</f>
        <v>Courgettes</v>
      </c>
      <c r="AM19" s="77"/>
      <c r="AN19" s="77"/>
      <c r="AO19" s="77"/>
      <c r="AP19" s="530">
        <f>VLOOKUP(AL13,Four!A:M,7,FALSE())*AN16</f>
        <v>1.677</v>
      </c>
      <c r="AQ19" s="475"/>
      <c r="AR19" s="276" t="s">
        <v>23</v>
      </c>
      <c r="AS19" s="62">
        <v>0.08</v>
      </c>
      <c r="AT19" s="63">
        <f>+AS19*$C14*$F$9</f>
        <v>4.8</v>
      </c>
      <c r="AU19" s="276" t="s">
        <v>24</v>
      </c>
      <c r="AV19" s="64">
        <v>4</v>
      </c>
      <c r="AW19" s="277">
        <f>AV19/($F22*$C15)</f>
        <v>6.835269993164729E-2</v>
      </c>
      <c r="AX19" s="307" t="s">
        <v>23</v>
      </c>
      <c r="AY19" s="62">
        <v>0.03</v>
      </c>
      <c r="AZ19" s="95">
        <f>AY19*C14*F19/(BB18/1000)</f>
        <v>29.999999999999996</v>
      </c>
      <c r="BA19" s="276" t="s">
        <v>24</v>
      </c>
      <c r="BB19" s="96">
        <v>25</v>
      </c>
      <c r="BC19" s="313">
        <f>(BB19*BB18/1000)/($F22*$C15)</f>
        <v>2.5632262474367735E-2</v>
      </c>
      <c r="BD19" s="276" t="s">
        <v>23</v>
      </c>
      <c r="BE19" s="62">
        <v>7.0000000000000007E-2</v>
      </c>
      <c r="BF19" s="63">
        <f>+BE19*$C14*$F$9</f>
        <v>4.2</v>
      </c>
      <c r="BG19" s="276" t="s">
        <v>24</v>
      </c>
      <c r="BH19" s="64">
        <v>4</v>
      </c>
      <c r="BI19" s="65">
        <f>BH19/($F22*$C15)</f>
        <v>6.835269993164729E-2</v>
      </c>
    </row>
    <row r="20" spans="1:61" ht="17.25" customHeight="1" thickBot="1">
      <c r="A20" s="291"/>
      <c r="B20" s="544" t="s">
        <v>178</v>
      </c>
      <c r="C20" s="445"/>
      <c r="D20" s="445"/>
      <c r="E20" s="446"/>
      <c r="F20" s="319">
        <f>(L14+R14+L19+X14+AD14+AJ14+AP14+AV14+AV19+BB14+BB19*(BB18/1000)+BH14+BH19)/C15</f>
        <v>0.61</v>
      </c>
      <c r="G20" s="320">
        <f>F20/(F20+F21)</f>
        <v>0.5324720670391061</v>
      </c>
      <c r="H20" s="70" t="s">
        <v>27</v>
      </c>
      <c r="I20" s="286">
        <v>7.0000000000000007E-2</v>
      </c>
      <c r="J20" s="287">
        <f>+I20*$E14*$F19</f>
        <v>2.1</v>
      </c>
      <c r="K20" s="70" t="s">
        <v>28</v>
      </c>
      <c r="L20" s="288">
        <v>2</v>
      </c>
      <c r="M20" s="289">
        <f>L20/($F22*$E15)</f>
        <v>6.835269993164729E-2</v>
      </c>
      <c r="N20" s="304" t="str">
        <f>VLOOKUP(N13,Friteuse!A:M,8,FALSE())</f>
        <v>Lait</v>
      </c>
      <c r="O20" s="79"/>
      <c r="P20" s="79"/>
      <c r="Q20" s="79"/>
      <c r="R20" s="530">
        <f>VLOOKUP(N13,Friteuse!A:M,9,FALSE())*P16</f>
        <v>0.06</v>
      </c>
      <c r="S20" s="475"/>
      <c r="T20" s="302" t="str">
        <f>VLOOKUP(T13,Wok!A:M,8,FALSE())</f>
        <v>Poivron</v>
      </c>
      <c r="U20" s="77"/>
      <c r="V20" s="77"/>
      <c r="W20" s="77"/>
      <c r="X20" s="530">
        <f>VLOOKUP(T13,Wok!A:M,9,FALSE())*V16</f>
        <v>0.39</v>
      </c>
      <c r="Y20" s="475"/>
      <c r="Z20" s="302" t="str">
        <f>VLOOKUP(Z13,Poele!A:M,8,FALSE())</f>
        <v>Pousse bambou</v>
      </c>
      <c r="AA20" s="77"/>
      <c r="AB20" s="77"/>
      <c r="AC20" s="77"/>
      <c r="AD20" s="530">
        <f>VLOOKUP(Z13,Poele!A:M,9,FALSE())*AB16</f>
        <v>0.35099999999999998</v>
      </c>
      <c r="AE20" s="475"/>
      <c r="AF20" s="302" t="str">
        <f>VLOOKUP(AF13,Four!A:M,8,FALSE())</f>
        <v>Oignon</v>
      </c>
      <c r="AG20" s="77"/>
      <c r="AH20" s="77"/>
      <c r="AI20" s="77"/>
      <c r="AJ20" s="530">
        <f>VLOOKUP(AF13,Four!A:M,9,FALSE())*AH16</f>
        <v>0.9</v>
      </c>
      <c r="AK20" s="475"/>
      <c r="AL20" s="302" t="str">
        <f>VLOOKUP(AL13,Four!A:M,8,FALSE())</f>
        <v>Béchamel</v>
      </c>
      <c r="AM20" s="77"/>
      <c r="AN20" s="77"/>
      <c r="AO20" s="77"/>
      <c r="AP20" s="530">
        <f>VLOOKUP(AL13,Four!A:M,9,FALSE())*AN16</f>
        <v>0.97499999999999998</v>
      </c>
      <c r="AQ20" s="475"/>
      <c r="AR20" s="70" t="s">
        <v>27</v>
      </c>
      <c r="AS20" s="286">
        <v>0.09</v>
      </c>
      <c r="AT20" s="287">
        <f>+AS20*$E14*$F19</f>
        <v>2.6999999999999997</v>
      </c>
      <c r="AU20" s="70" t="s">
        <v>28</v>
      </c>
      <c r="AV20" s="288">
        <v>2</v>
      </c>
      <c r="AW20" s="289">
        <f>AV20/($F22*$E15)</f>
        <v>6.835269993164729E-2</v>
      </c>
      <c r="AX20" s="80" t="s">
        <v>27</v>
      </c>
      <c r="AY20" s="286">
        <v>0.03</v>
      </c>
      <c r="AZ20" s="321">
        <f>AY20*E14*F19/(BB18/1000)</f>
        <v>14.999999999999998</v>
      </c>
      <c r="BA20" s="70" t="s">
        <v>28</v>
      </c>
      <c r="BB20" s="322">
        <v>13</v>
      </c>
      <c r="BC20" s="315">
        <f>(BB20*BB18/1000)/($F22*$E15)</f>
        <v>2.6657552973342446E-2</v>
      </c>
      <c r="BD20" s="70" t="s">
        <v>27</v>
      </c>
      <c r="BE20" s="286">
        <v>7.0000000000000007E-2</v>
      </c>
      <c r="BF20" s="287">
        <f>+BE20*$E14*$F19</f>
        <v>2.1</v>
      </c>
      <c r="BG20" s="70" t="s">
        <v>28</v>
      </c>
      <c r="BH20" s="288">
        <v>2</v>
      </c>
      <c r="BI20" s="290">
        <f>BH20/($F22*$E15)</f>
        <v>6.835269993164729E-2</v>
      </c>
    </row>
    <row r="21" spans="1:61" ht="17.25" customHeight="1" thickBot="1">
      <c r="A21" s="291"/>
      <c r="B21" s="447"/>
      <c r="C21" s="434"/>
      <c r="D21" s="434"/>
      <c r="E21" s="435"/>
      <c r="F21" s="323">
        <f>(L15+L20+R15+X15+AD15+AJ15+AP15+AV15+AV20+BB15+BB20*(BB18/1000)+BH20+BH15)/E15</f>
        <v>0.53560000000000008</v>
      </c>
      <c r="G21" s="324">
        <f>F21/(F20+F21)</f>
        <v>0.46752793296089395</v>
      </c>
      <c r="H21" s="298" t="s">
        <v>31</v>
      </c>
      <c r="I21" s="299">
        <f>+J21/$G14</f>
        <v>4.2000000000000003E-2</v>
      </c>
      <c r="J21" s="74">
        <f>SUM(J19:J20)</f>
        <v>6.3000000000000007</v>
      </c>
      <c r="K21" s="75" t="s">
        <v>31</v>
      </c>
      <c r="L21" s="300">
        <f>SUM(L19:L20)</f>
        <v>6</v>
      </c>
      <c r="M21" s="301">
        <f>L21/($F22*$G15)</f>
        <v>6.8352699931647304E-2</v>
      </c>
      <c r="N21" s="304" t="str">
        <f>VLOOKUP(N13,Friteuse!A:M,10,FALSE())</f>
        <v>Levure</v>
      </c>
      <c r="O21" s="78"/>
      <c r="P21" s="78"/>
      <c r="Q21" s="78"/>
      <c r="R21" s="530">
        <f>VLOOKUP(N13,Friteuse!A:M,11,FALSE())*P16</f>
        <v>1.1999999999999999E-3</v>
      </c>
      <c r="S21" s="475"/>
      <c r="T21" s="302" t="str">
        <f>VLOOKUP(T13,Wok!A:M,10,FALSE())</f>
        <v>Crème</v>
      </c>
      <c r="U21" s="81"/>
      <c r="V21" s="81"/>
      <c r="W21" s="81"/>
      <c r="X21" s="530">
        <f>VLOOKUP(T13,Wok!A:M,11,FALSE())*V16</f>
        <v>0.19500000000000001</v>
      </c>
      <c r="Y21" s="475"/>
      <c r="Z21" s="302" t="str">
        <f>VLOOKUP(Z13,Poele!A:M,10,FALSE())</f>
        <v>Soja frais</v>
      </c>
      <c r="AA21" s="81"/>
      <c r="AB21" s="81"/>
      <c r="AC21" s="81"/>
      <c r="AD21" s="530">
        <f>VLOOKUP(Z13,Poele!A:M,11,FALSE())*AB16</f>
        <v>0.35099999999999998</v>
      </c>
      <c r="AE21" s="475"/>
      <c r="AF21" s="302" t="str">
        <f>VLOOKUP(AF13,Four!A:M,10,FALSE())</f>
        <v>Ail / Paprika / Gingembre</v>
      </c>
      <c r="AG21" s="81"/>
      <c r="AH21" s="81"/>
      <c r="AI21" s="81"/>
      <c r="AJ21" s="530">
        <f>VLOOKUP(AF13,Four!A:M,11,FALSE())*AH16</f>
        <v>0</v>
      </c>
      <c r="AK21" s="475"/>
      <c r="AL21" s="302" t="str">
        <f>VLOOKUP(AL13,Four!A:M,10,FALSE())</f>
        <v>Sce napo</v>
      </c>
      <c r="AM21" s="81"/>
      <c r="AN21" s="81"/>
      <c r="AO21" s="81"/>
      <c r="AP21" s="530">
        <f>VLOOKUP(AL13,Four!A:M,11,FALSE())*AN16</f>
        <v>0.19500000000000001</v>
      </c>
      <c r="AQ21" s="475"/>
      <c r="AR21" s="298" t="s">
        <v>31</v>
      </c>
      <c r="AS21" s="299">
        <f>+AT21/$G14</f>
        <v>0.05</v>
      </c>
      <c r="AT21" s="74">
        <f>SUM(AT19:AT20)</f>
        <v>7.5</v>
      </c>
      <c r="AU21" s="75" t="s">
        <v>31</v>
      </c>
      <c r="AV21" s="300">
        <f>SUM(AV19:AV20)</f>
        <v>6</v>
      </c>
      <c r="AW21" s="301">
        <f>AV21/($F22*$G15)</f>
        <v>6.8352699931647304E-2</v>
      </c>
      <c r="AX21" s="308" t="s">
        <v>31</v>
      </c>
      <c r="AY21" s="299"/>
      <c r="AZ21" s="97">
        <f>SUM(AZ19:AZ20)</f>
        <v>44.999999999999993</v>
      </c>
      <c r="BA21" s="75" t="s">
        <v>31</v>
      </c>
      <c r="BB21" s="325">
        <f>SUM(BB19:BB20)</f>
        <v>38</v>
      </c>
      <c r="BC21" s="295">
        <f>(BB21*BB18/1000)/($F22*$G15)</f>
        <v>2.5974025974025972E-2</v>
      </c>
      <c r="BD21" s="298" t="s">
        <v>31</v>
      </c>
      <c r="BE21" s="299">
        <f>+BF21/$G14</f>
        <v>4.2000000000000003E-2</v>
      </c>
      <c r="BF21" s="74">
        <f>SUM(BF19:BF20)</f>
        <v>6.3000000000000007</v>
      </c>
      <c r="BG21" s="75" t="s">
        <v>31</v>
      </c>
      <c r="BH21" s="300">
        <f>SUM(BH19:BH20)</f>
        <v>6</v>
      </c>
      <c r="BI21" s="76">
        <f>BH21/($F22*$G15)</f>
        <v>6.8352699931647304E-2</v>
      </c>
    </row>
    <row r="22" spans="1:61" ht="17.25" customHeight="1" thickBot="1">
      <c r="A22" s="291"/>
      <c r="B22" s="545" t="s">
        <v>159</v>
      </c>
      <c r="C22" s="431"/>
      <c r="D22" s="431"/>
      <c r="E22" s="432"/>
      <c r="F22" s="546">
        <f>(L16+L21+R16+X16+AD16+AJ16+AP16+AV16+AV21+BB21*BB18/1000+BB16+BH16+BH21)/G15</f>
        <v>0.58520000000000005</v>
      </c>
      <c r="G22" s="435"/>
      <c r="H22" s="302" t="str">
        <f>VLOOKUP(H18,Plancha2!A:M,2,FALSE())</f>
        <v>Lamelle encornet</v>
      </c>
      <c r="I22" s="82"/>
      <c r="J22" s="78"/>
      <c r="K22" s="78"/>
      <c r="L22" s="529">
        <f>J21</f>
        <v>6.3000000000000007</v>
      </c>
      <c r="M22" s="475"/>
      <c r="N22" s="304" t="str">
        <f>VLOOKUP(N13,Friteuse!A:M,12,FALSE())</f>
        <v>Curry gold</v>
      </c>
      <c r="O22" s="306"/>
      <c r="P22" s="306"/>
      <c r="Q22" s="306"/>
      <c r="R22" s="542">
        <f>VLOOKUP(N13,Friteuse!A:M,13,FALSE())*P16</f>
        <v>1.1999999999999999E-3</v>
      </c>
      <c r="S22" s="435"/>
      <c r="T22" s="302">
        <f>VLOOKUP(T13,Wok!A:M,12,FALSE())</f>
        <v>0</v>
      </c>
      <c r="U22" s="309"/>
      <c r="V22" s="309"/>
      <c r="W22" s="309"/>
      <c r="X22" s="542">
        <f>VLOOKUP(T13,Wok!A:M,13,FALSE())*V16</f>
        <v>0</v>
      </c>
      <c r="Y22" s="435"/>
      <c r="Z22" s="302" t="str">
        <f>VLOOKUP(Z13,Poele!A:M,12,FALSE())</f>
        <v>Champ. noirs</v>
      </c>
      <c r="AA22" s="309"/>
      <c r="AB22" s="309"/>
      <c r="AC22" s="309"/>
      <c r="AD22" s="542">
        <f>VLOOKUP(Z13,Poele!A:M,13,FALSE())*AB16</f>
        <v>0.53999999999999992</v>
      </c>
      <c r="AE22" s="435"/>
      <c r="AF22" s="302">
        <f>VLOOKUP(AF13,Four!A:M,12,FALSE())</f>
        <v>0</v>
      </c>
      <c r="AG22" s="309"/>
      <c r="AH22" s="309"/>
      <c r="AI22" s="309"/>
      <c r="AJ22" s="542">
        <f>VLOOKUP(AF13,Four!A:M,13,FALSE())*AH16</f>
        <v>0</v>
      </c>
      <c r="AK22" s="435"/>
      <c r="AL22" s="302" t="str">
        <f>VLOOKUP(AL13,Four!A:M,12,FALSE())</f>
        <v>Estrèmo</v>
      </c>
      <c r="AM22" s="309"/>
      <c r="AN22" s="309"/>
      <c r="AO22" s="309"/>
      <c r="AP22" s="542">
        <f>VLOOKUP(AL13,Four!A:M,13,FALSE())*AN16</f>
        <v>0.19500000000000001</v>
      </c>
      <c r="AQ22" s="435"/>
      <c r="AR22" s="310" t="s">
        <v>74</v>
      </c>
      <c r="AS22" s="82"/>
      <c r="AT22" s="78"/>
      <c r="AU22" s="78"/>
      <c r="AV22" s="529">
        <f>AT21</f>
        <v>7.5</v>
      </c>
      <c r="AW22" s="475"/>
      <c r="AX22" s="538" t="s">
        <v>75</v>
      </c>
      <c r="AY22" s="461"/>
      <c r="AZ22" s="461"/>
      <c r="BA22" s="311"/>
      <c r="BB22" s="529">
        <f>AZ21*(BB18/1000)</f>
        <v>2.6999999999999993</v>
      </c>
      <c r="BC22" s="475"/>
      <c r="BD22" s="543" t="s">
        <v>115</v>
      </c>
      <c r="BE22" s="461"/>
      <c r="BF22" s="461"/>
      <c r="BG22" s="311"/>
      <c r="BH22" s="529">
        <f>BF21</f>
        <v>6.3000000000000007</v>
      </c>
      <c r="BI22" s="503"/>
    </row>
    <row r="23" spans="1:61" ht="17.25" customHeight="1" thickBot="1">
      <c r="A23" s="398">
        <f>A13+1</f>
        <v>45364</v>
      </c>
      <c r="B23" s="547" t="s">
        <v>8</v>
      </c>
      <c r="C23" s="432"/>
      <c r="D23" s="547" t="s">
        <v>9</v>
      </c>
      <c r="E23" s="432"/>
      <c r="F23" s="317" t="s">
        <v>10</v>
      </c>
      <c r="G23" s="318"/>
      <c r="H23" s="551" t="s">
        <v>149</v>
      </c>
      <c r="I23" s="552"/>
      <c r="J23" s="552"/>
      <c r="K23" s="552"/>
      <c r="L23" s="552"/>
      <c r="M23" s="553"/>
      <c r="N23" s="522" t="s">
        <v>197</v>
      </c>
      <c r="O23" s="431" t="s">
        <v>197</v>
      </c>
      <c r="P23" s="431" t="s">
        <v>197</v>
      </c>
      <c r="Q23" s="431" t="s">
        <v>197</v>
      </c>
      <c r="R23" s="431" t="s">
        <v>197</v>
      </c>
      <c r="S23" s="432" t="s">
        <v>197</v>
      </c>
      <c r="T23" s="523" t="s">
        <v>164</v>
      </c>
      <c r="U23" s="431" t="s">
        <v>252</v>
      </c>
      <c r="V23" s="431" t="s">
        <v>252</v>
      </c>
      <c r="W23" s="431" t="s">
        <v>252</v>
      </c>
      <c r="X23" s="431" t="s">
        <v>252</v>
      </c>
      <c r="Y23" s="432" t="s">
        <v>252</v>
      </c>
      <c r="Z23" s="523" t="s">
        <v>714</v>
      </c>
      <c r="AA23" s="431" t="s">
        <v>199</v>
      </c>
      <c r="AB23" s="431" t="s">
        <v>199</v>
      </c>
      <c r="AC23" s="431" t="s">
        <v>199</v>
      </c>
      <c r="AD23" s="431" t="s">
        <v>199</v>
      </c>
      <c r="AE23" s="432" t="s">
        <v>199</v>
      </c>
      <c r="AF23" s="519" t="s">
        <v>196</v>
      </c>
      <c r="AG23" s="431" t="s">
        <v>208</v>
      </c>
      <c r="AH23" s="431" t="s">
        <v>208</v>
      </c>
      <c r="AI23" s="431" t="s">
        <v>208</v>
      </c>
      <c r="AJ23" s="431" t="s">
        <v>208</v>
      </c>
      <c r="AK23" s="432" t="s">
        <v>208</v>
      </c>
      <c r="AL23" s="557" t="s">
        <v>205</v>
      </c>
      <c r="AM23" s="558" t="s">
        <v>297</v>
      </c>
      <c r="AN23" s="558" t="s">
        <v>297</v>
      </c>
      <c r="AO23" s="558" t="s">
        <v>297</v>
      </c>
      <c r="AP23" s="558" t="s">
        <v>297</v>
      </c>
      <c r="AQ23" s="559" t="s">
        <v>297</v>
      </c>
      <c r="AR23" s="481" t="s">
        <v>18</v>
      </c>
      <c r="AS23" s="431"/>
      <c r="AT23" s="431"/>
      <c r="AU23" s="431"/>
      <c r="AV23" s="431"/>
      <c r="AW23" s="432"/>
      <c r="AX23" s="482" t="s">
        <v>154</v>
      </c>
      <c r="AY23" s="434"/>
      <c r="AZ23" s="434"/>
      <c r="BA23" s="434"/>
      <c r="BB23" s="434"/>
      <c r="BC23" s="435"/>
      <c r="BD23" s="483" t="s">
        <v>155</v>
      </c>
      <c r="BE23" s="431"/>
      <c r="BF23" s="431"/>
      <c r="BG23" s="431"/>
      <c r="BH23" s="431"/>
      <c r="BI23" s="484"/>
    </row>
    <row r="24" spans="1:61" ht="17.25" customHeight="1">
      <c r="A24" s="399"/>
      <c r="B24" s="270" t="s">
        <v>22</v>
      </c>
      <c r="C24" s="271">
        <v>100</v>
      </c>
      <c r="D24" s="270" t="s">
        <v>22</v>
      </c>
      <c r="E24" s="272">
        <v>50</v>
      </c>
      <c r="F24" s="270" t="s">
        <v>22</v>
      </c>
      <c r="G24" s="56">
        <f t="shared" ref="G24:G25" si="2">+C24+E24</f>
        <v>150</v>
      </c>
      <c r="H24" s="276" t="s">
        <v>23</v>
      </c>
      <c r="I24" s="62">
        <v>0.05</v>
      </c>
      <c r="J24" s="63">
        <f>+I24*$C24*$F29</f>
        <v>3</v>
      </c>
      <c r="K24" s="276" t="s">
        <v>24</v>
      </c>
      <c r="L24" s="64">
        <v>3</v>
      </c>
      <c r="M24" s="277">
        <f>L24/($F32*$C25)</f>
        <v>5.1264524948735471E-2</v>
      </c>
      <c r="N24" s="273" t="s">
        <v>23</v>
      </c>
      <c r="O24" s="57">
        <v>0.01</v>
      </c>
      <c r="P24" s="58">
        <f>+O24*$C24*$F29</f>
        <v>0.6</v>
      </c>
      <c r="Q24" s="273" t="s">
        <v>24</v>
      </c>
      <c r="R24" s="84">
        <v>0.5</v>
      </c>
      <c r="S24" s="313">
        <f>R24/($F32*$C25)</f>
        <v>8.5440874914559112E-3</v>
      </c>
      <c r="T24" s="274" t="s">
        <v>23</v>
      </c>
      <c r="U24" s="60">
        <v>0.05</v>
      </c>
      <c r="V24" s="61">
        <f>+U24*$C24*$F29</f>
        <v>3</v>
      </c>
      <c r="W24" s="274" t="s">
        <v>24</v>
      </c>
      <c r="X24" s="59">
        <v>3</v>
      </c>
      <c r="Y24" s="275">
        <f>X24/($F32*$C25)</f>
        <v>5.1264524948735471E-2</v>
      </c>
      <c r="Z24" s="274" t="s">
        <v>23</v>
      </c>
      <c r="AA24" s="60">
        <v>0.03</v>
      </c>
      <c r="AB24" s="61">
        <f>+AA24*$C24*$F29</f>
        <v>1.7999999999999998</v>
      </c>
      <c r="AC24" s="274" t="s">
        <v>24</v>
      </c>
      <c r="AD24" s="59">
        <v>2</v>
      </c>
      <c r="AE24" s="275">
        <f>AD24/($F32*$C25)</f>
        <v>3.4176349965823645E-2</v>
      </c>
      <c r="AF24" s="274" t="s">
        <v>23</v>
      </c>
      <c r="AG24" s="60">
        <v>0.1</v>
      </c>
      <c r="AH24" s="61">
        <f>+AG24*$C24*$F29</f>
        <v>6</v>
      </c>
      <c r="AI24" s="274" t="s">
        <v>24</v>
      </c>
      <c r="AJ24" s="59">
        <v>6</v>
      </c>
      <c r="AK24" s="275">
        <f>AJ24/($F32*$C25)</f>
        <v>0.10252904989747094</v>
      </c>
      <c r="AL24" s="274" t="s">
        <v>23</v>
      </c>
      <c r="AM24" s="60">
        <v>0.05</v>
      </c>
      <c r="AN24" s="61">
        <f>+AM24*$C24*$F29</f>
        <v>3</v>
      </c>
      <c r="AO24" s="274" t="s">
        <v>24</v>
      </c>
      <c r="AP24" s="59">
        <v>3</v>
      </c>
      <c r="AQ24" s="275">
        <f>AP24/($F32*$C25)</f>
        <v>5.1264524948735471E-2</v>
      </c>
      <c r="AR24" s="276" t="s">
        <v>23</v>
      </c>
      <c r="AS24" s="62">
        <v>0.08</v>
      </c>
      <c r="AT24" s="63">
        <f>+AS24*$C24*$F29</f>
        <v>4.8</v>
      </c>
      <c r="AU24" s="276" t="s">
        <v>24</v>
      </c>
      <c r="AV24" s="64">
        <v>4</v>
      </c>
      <c r="AW24" s="277">
        <f>AV24/($F32*$C25)</f>
        <v>6.835269993164729E-2</v>
      </c>
      <c r="AX24" s="276" t="s">
        <v>23</v>
      </c>
      <c r="AY24" s="62">
        <v>0.43</v>
      </c>
      <c r="AZ24" s="63">
        <f>+AY24*$C24*$F29</f>
        <v>25.8</v>
      </c>
      <c r="BA24" s="276" t="s">
        <v>24</v>
      </c>
      <c r="BB24" s="64">
        <v>25</v>
      </c>
      <c r="BC24" s="277">
        <f>BB24/($F32*$C25)</f>
        <v>0.42720437457279559</v>
      </c>
      <c r="BD24" s="276" t="s">
        <v>23</v>
      </c>
      <c r="BE24" s="62">
        <v>0.02</v>
      </c>
      <c r="BF24" s="63">
        <f>+BE24*$C24*$F29</f>
        <v>1.2</v>
      </c>
      <c r="BG24" s="276" t="s">
        <v>24</v>
      </c>
      <c r="BH24" s="64">
        <v>1</v>
      </c>
      <c r="BI24" s="65">
        <f>BH24/($F32*$C25)</f>
        <v>1.7088174982911822E-2</v>
      </c>
    </row>
    <row r="25" spans="1:61" ht="17.25" customHeight="1" thickBot="1">
      <c r="A25" s="400" t="s">
        <v>79</v>
      </c>
      <c r="B25" s="266" t="s">
        <v>26</v>
      </c>
      <c r="C25" s="66">
        <v>100</v>
      </c>
      <c r="D25" s="266" t="s">
        <v>26</v>
      </c>
      <c r="E25" s="67">
        <v>50</v>
      </c>
      <c r="F25" s="266" t="s">
        <v>26</v>
      </c>
      <c r="G25" s="279">
        <f t="shared" si="2"/>
        <v>150</v>
      </c>
      <c r="H25" s="70" t="s">
        <v>27</v>
      </c>
      <c r="I25" s="286">
        <v>0.03</v>
      </c>
      <c r="J25" s="287">
        <f>+I25*$E24*$F29</f>
        <v>0.89999999999999991</v>
      </c>
      <c r="K25" s="70" t="s">
        <v>28</v>
      </c>
      <c r="L25" s="288">
        <v>1</v>
      </c>
      <c r="M25" s="289">
        <f>L25/($F32*$E25)</f>
        <v>3.4176349965823645E-2</v>
      </c>
      <c r="N25" s="68" t="s">
        <v>27</v>
      </c>
      <c r="O25" s="280">
        <v>0.02</v>
      </c>
      <c r="P25" s="281">
        <f>+O25*$E24*$F29</f>
        <v>0.6</v>
      </c>
      <c r="Q25" s="68" t="s">
        <v>28</v>
      </c>
      <c r="R25" s="314">
        <v>0.5</v>
      </c>
      <c r="S25" s="315">
        <f>R25/($F32*$E25)</f>
        <v>1.7088174982911822E-2</v>
      </c>
      <c r="T25" s="69" t="s">
        <v>27</v>
      </c>
      <c r="U25" s="284">
        <v>0.03</v>
      </c>
      <c r="V25" s="285">
        <f>+U25*$E24*$F29</f>
        <v>0.89999999999999991</v>
      </c>
      <c r="W25" s="69" t="s">
        <v>28</v>
      </c>
      <c r="X25" s="282">
        <v>1</v>
      </c>
      <c r="Y25" s="283">
        <f>X25/($F32*$E25)</f>
        <v>3.4176349965823645E-2</v>
      </c>
      <c r="Z25" s="69" t="s">
        <v>27</v>
      </c>
      <c r="AA25" s="284">
        <v>0.03</v>
      </c>
      <c r="AB25" s="285">
        <f>+AA25*$E24*$F29</f>
        <v>0.89999999999999991</v>
      </c>
      <c r="AC25" s="69" t="s">
        <v>28</v>
      </c>
      <c r="AD25" s="282">
        <v>1</v>
      </c>
      <c r="AE25" s="283">
        <f>AD25/($F32*$E25)</f>
        <v>3.4176349965823645E-2</v>
      </c>
      <c r="AF25" s="69" t="s">
        <v>27</v>
      </c>
      <c r="AG25" s="284">
        <v>0.1</v>
      </c>
      <c r="AH25" s="285">
        <f>+AG25*$E24*$F29</f>
        <v>3</v>
      </c>
      <c r="AI25" s="69" t="s">
        <v>28</v>
      </c>
      <c r="AJ25" s="282">
        <v>3</v>
      </c>
      <c r="AK25" s="283">
        <f>AJ25/($F32*$E25)</f>
        <v>0.10252904989747094</v>
      </c>
      <c r="AL25" s="69" t="s">
        <v>27</v>
      </c>
      <c r="AM25" s="284">
        <v>0.03</v>
      </c>
      <c r="AN25" s="285">
        <f>+AM25*$E24*$F29</f>
        <v>0.89999999999999991</v>
      </c>
      <c r="AO25" s="69" t="s">
        <v>28</v>
      </c>
      <c r="AP25" s="282">
        <v>1</v>
      </c>
      <c r="AQ25" s="283">
        <f>AP25/($F32*$E25)</f>
        <v>3.4176349965823645E-2</v>
      </c>
      <c r="AR25" s="70" t="s">
        <v>27</v>
      </c>
      <c r="AS25" s="286">
        <v>0.09</v>
      </c>
      <c r="AT25" s="287">
        <f>+AS25*$E24*$F29</f>
        <v>2.6999999999999997</v>
      </c>
      <c r="AU25" s="70" t="s">
        <v>28</v>
      </c>
      <c r="AV25" s="288">
        <v>2</v>
      </c>
      <c r="AW25" s="289">
        <f>AV25/($F32*$E25)</f>
        <v>6.835269993164729E-2</v>
      </c>
      <c r="AX25" s="70" t="s">
        <v>27</v>
      </c>
      <c r="AY25" s="286">
        <v>0.34</v>
      </c>
      <c r="AZ25" s="287">
        <f>+AY25*$E24*$F29</f>
        <v>10.199999999999999</v>
      </c>
      <c r="BA25" s="70" t="s">
        <v>28</v>
      </c>
      <c r="BB25" s="288">
        <v>10</v>
      </c>
      <c r="BC25" s="289">
        <f>BB25/($F32*$E25)</f>
        <v>0.34176349965823649</v>
      </c>
      <c r="BD25" s="70" t="s">
        <v>27</v>
      </c>
      <c r="BE25" s="286">
        <v>0.02</v>
      </c>
      <c r="BF25" s="287">
        <f>+BE25*$E24*$F29</f>
        <v>0.6</v>
      </c>
      <c r="BG25" s="70" t="s">
        <v>28</v>
      </c>
      <c r="BH25" s="288">
        <v>0.5</v>
      </c>
      <c r="BI25" s="290">
        <f>BH25/($F32*$E25)</f>
        <v>1.7088174982911822E-2</v>
      </c>
    </row>
    <row r="26" spans="1:61" ht="17.25" customHeight="1">
      <c r="A26" s="401" t="s">
        <v>94</v>
      </c>
      <c r="B26" s="532" t="s">
        <v>30</v>
      </c>
      <c r="C26" s="454"/>
      <c r="D26" s="455"/>
      <c r="E26" s="533">
        <f>(I24+O24+U24+AA24+AG24+AM24+AS24+AY24+BE24+BE29+AY29+AS29+I29)/2</f>
        <v>0.53500000000000014</v>
      </c>
      <c r="F26" s="457"/>
      <c r="G26" s="534">
        <f>(E26+E27)</f>
        <v>1.0100000000000002</v>
      </c>
      <c r="H26" s="298" t="s">
        <v>31</v>
      </c>
      <c r="I26" s="299">
        <f>+J26/$G24</f>
        <v>2.5999999999999999E-2</v>
      </c>
      <c r="J26" s="74">
        <f>SUM(J24:J25)</f>
        <v>3.9</v>
      </c>
      <c r="K26" s="75" t="s">
        <v>31</v>
      </c>
      <c r="L26" s="300">
        <f>SUM(L24:L25)</f>
        <v>4</v>
      </c>
      <c r="M26" s="301">
        <f>L26/($F32*$G25)</f>
        <v>4.5568466621098203E-2</v>
      </c>
      <c r="N26" s="292" t="s">
        <v>31</v>
      </c>
      <c r="O26" s="293">
        <f>+P26/$G24</f>
        <v>8.0000000000000002E-3</v>
      </c>
      <c r="P26" s="71">
        <f>SUM(P24:P25)</f>
        <v>1.2</v>
      </c>
      <c r="Q26" s="85" t="s">
        <v>31</v>
      </c>
      <c r="R26" s="316">
        <f>SUM(R24:R25)</f>
        <v>1</v>
      </c>
      <c r="S26" s="295">
        <f>R26/($F32*$G25)</f>
        <v>1.1392116655274551E-2</v>
      </c>
      <c r="T26" s="296" t="s">
        <v>31</v>
      </c>
      <c r="U26" s="297">
        <f>+V26/$G24</f>
        <v>2.5999999999999999E-2</v>
      </c>
      <c r="V26" s="73">
        <f>SUM(V24:V25)</f>
        <v>3.9</v>
      </c>
      <c r="W26" s="72" t="s">
        <v>31</v>
      </c>
      <c r="X26" s="294">
        <f>SUM(X24:X25)</f>
        <v>4</v>
      </c>
      <c r="Y26" s="295">
        <f>X26/($F32*$G25)</f>
        <v>4.5568466621098203E-2</v>
      </c>
      <c r="Z26" s="296" t="s">
        <v>31</v>
      </c>
      <c r="AA26" s="297">
        <f>+AB26/$G24</f>
        <v>1.7999999999999999E-2</v>
      </c>
      <c r="AB26" s="73">
        <f>SUM(AB24:AB25)</f>
        <v>2.6999999999999997</v>
      </c>
      <c r="AC26" s="72" t="s">
        <v>31</v>
      </c>
      <c r="AD26" s="294">
        <f>SUM(AD24:AD25)</f>
        <v>3</v>
      </c>
      <c r="AE26" s="295">
        <f>AD26/($F32*$G25)</f>
        <v>3.4176349965823652E-2</v>
      </c>
      <c r="AF26" s="296" t="s">
        <v>31</v>
      </c>
      <c r="AG26" s="297">
        <f>+AH26/$G24</f>
        <v>0.06</v>
      </c>
      <c r="AH26" s="73">
        <f>SUM(AH24:AH25)</f>
        <v>9</v>
      </c>
      <c r="AI26" s="72" t="s">
        <v>31</v>
      </c>
      <c r="AJ26" s="294">
        <f>SUM(AJ24:AJ25)</f>
        <v>9</v>
      </c>
      <c r="AK26" s="295">
        <f>AJ26/($F32*$G25)</f>
        <v>0.10252904989747094</v>
      </c>
      <c r="AL26" s="296" t="s">
        <v>31</v>
      </c>
      <c r="AM26" s="297">
        <f>+AN26/$G24</f>
        <v>2.5999999999999999E-2</v>
      </c>
      <c r="AN26" s="73">
        <f>SUM(AN24:AN25)</f>
        <v>3.9</v>
      </c>
      <c r="AO26" s="72" t="s">
        <v>31</v>
      </c>
      <c r="AP26" s="294">
        <f>SUM(AP24:AP25)</f>
        <v>4</v>
      </c>
      <c r="AQ26" s="295">
        <f>AP26/($F32*$G25)</f>
        <v>4.5568466621098203E-2</v>
      </c>
      <c r="AR26" s="298" t="s">
        <v>31</v>
      </c>
      <c r="AS26" s="299">
        <f>+AT26/$G24</f>
        <v>0.05</v>
      </c>
      <c r="AT26" s="74">
        <f>SUM(AT24:AT25)</f>
        <v>7.5</v>
      </c>
      <c r="AU26" s="75" t="s">
        <v>31</v>
      </c>
      <c r="AV26" s="300">
        <f>SUM(AV24:AV25)</f>
        <v>6</v>
      </c>
      <c r="AW26" s="301">
        <f>AV26/($F32*$G25)</f>
        <v>6.8352699931647304E-2</v>
      </c>
      <c r="AX26" s="298" t="s">
        <v>31</v>
      </c>
      <c r="AY26" s="299">
        <f>+AZ26/$G24</f>
        <v>0.24</v>
      </c>
      <c r="AZ26" s="74">
        <f>SUM(AZ24:AZ25)</f>
        <v>36</v>
      </c>
      <c r="BA26" s="75" t="s">
        <v>31</v>
      </c>
      <c r="BB26" s="300">
        <f>SUM(BB24:BB25)</f>
        <v>35</v>
      </c>
      <c r="BC26" s="301">
        <f>BB26/($F32*$G25)</f>
        <v>0.39872408293460926</v>
      </c>
      <c r="BD26" s="298" t="s">
        <v>31</v>
      </c>
      <c r="BE26" s="299">
        <f>+BF26/$G24</f>
        <v>1.1999999999999999E-2</v>
      </c>
      <c r="BF26" s="74">
        <f>SUM(BF24:BF25)</f>
        <v>1.7999999999999998</v>
      </c>
      <c r="BG26" s="75" t="s">
        <v>31</v>
      </c>
      <c r="BH26" s="300">
        <f>SUM(BH24:BH25)</f>
        <v>1.5</v>
      </c>
      <c r="BI26" s="76">
        <f>BH26/($F32*$G25)</f>
        <v>1.7088174982911826E-2</v>
      </c>
    </row>
    <row r="27" spans="1:61" ht="17.25" customHeight="1" thickBot="1">
      <c r="A27" s="401" t="s">
        <v>81</v>
      </c>
      <c r="B27" s="535" t="s">
        <v>34</v>
      </c>
      <c r="C27" s="461"/>
      <c r="D27" s="462"/>
      <c r="E27" s="536">
        <f>(I25+O25+U25+AA25+AG25+AM25+AS25+AY25+BE25+AS30+AY30+BE30+I30)/2</f>
        <v>0.47500000000000009</v>
      </c>
      <c r="F27" s="464"/>
      <c r="G27" s="459"/>
      <c r="H27" s="537" t="str">
        <f>VLOOKUP(H23,Plancha2!A:M,2,FALSE())</f>
        <v>Poisson</v>
      </c>
      <c r="I27" s="474"/>
      <c r="J27" s="474"/>
      <c r="K27" s="306"/>
      <c r="L27" s="529">
        <f>J26</f>
        <v>3.9</v>
      </c>
      <c r="M27" s="475"/>
      <c r="N27" s="304" t="str">
        <f>VLOOKUP(N23,Friteuse!A:M,2,FALSE())</f>
        <v>Aiguilette</v>
      </c>
      <c r="O27" s="305"/>
      <c r="P27" s="305"/>
      <c r="Q27" s="77"/>
      <c r="R27" s="529">
        <f>VLOOKUP(N23,Friteuse!A:M,3,FALSE())*P26</f>
        <v>1.032</v>
      </c>
      <c r="S27" s="475"/>
      <c r="T27" s="302" t="str">
        <f>VLOOKUP(T23,Wok!A:M,2,FALSE())</f>
        <v>Encornet</v>
      </c>
      <c r="U27" s="303"/>
      <c r="V27" s="303"/>
      <c r="W27" s="77"/>
      <c r="X27" s="529">
        <f>VLOOKUP(T23,Wok!A:M,3,FALSE())*V26</f>
        <v>0.97499999999999998</v>
      </c>
      <c r="Y27" s="475"/>
      <c r="Z27" s="302" t="str">
        <f>VLOOKUP(Z23,Poele!A:M,2,FALSE())</f>
        <v>Porc rognon</v>
      </c>
      <c r="AA27" s="303"/>
      <c r="AB27" s="303"/>
      <c r="AC27" s="77"/>
      <c r="AD27" s="529">
        <f>VLOOKUP(Z23,Poele!A:M,3,FALSE())*AB26</f>
        <v>1.4849999999999999</v>
      </c>
      <c r="AE27" s="475"/>
      <c r="AF27" s="302" t="str">
        <f>VLOOKUP(AF23,Four!A:M,2,FALSE())</f>
        <v>Saucisse fumée</v>
      </c>
      <c r="AG27" s="303"/>
      <c r="AH27" s="303"/>
      <c r="AI27" s="77"/>
      <c r="AJ27" s="529">
        <f>VLOOKUP(AF23,Four!A:M,3,FALSE())*AH26</f>
        <v>3.6</v>
      </c>
      <c r="AK27" s="475"/>
      <c r="AL27" s="302" t="str">
        <f>VLOOKUP(AL23,Four!A:M,2,FALSE())</f>
        <v>Epinard</v>
      </c>
      <c r="AM27" s="303"/>
      <c r="AN27" s="303"/>
      <c r="AO27" s="77"/>
      <c r="AP27" s="529">
        <f>VLOOKUP(AL23,Four!A:M,3,FALSE())*AN26</f>
        <v>3.12</v>
      </c>
      <c r="AQ27" s="475"/>
      <c r="AR27" s="538" t="s">
        <v>42</v>
      </c>
      <c r="AS27" s="461"/>
      <c r="AT27" s="461"/>
      <c r="AU27" s="306"/>
      <c r="AV27" s="529">
        <f>AT26</f>
        <v>7.5</v>
      </c>
      <c r="AW27" s="475"/>
      <c r="AX27" s="528" t="s">
        <v>156</v>
      </c>
      <c r="AY27" s="471"/>
      <c r="AZ27" s="471"/>
      <c r="BA27" s="78"/>
      <c r="BB27" s="529">
        <f>AZ26</f>
        <v>36</v>
      </c>
      <c r="BC27" s="475"/>
      <c r="BD27" s="528" t="s">
        <v>157</v>
      </c>
      <c r="BE27" s="471"/>
      <c r="BF27" s="471"/>
      <c r="BG27" s="78"/>
      <c r="BH27" s="529">
        <f>BF26</f>
        <v>1.7999999999999998</v>
      </c>
      <c r="BI27" s="503"/>
    </row>
    <row r="28" spans="1:61" ht="17.25" customHeight="1" thickBot="1">
      <c r="A28" s="401" t="s">
        <v>95</v>
      </c>
      <c r="B28" s="539" t="s">
        <v>46</v>
      </c>
      <c r="C28" s="445"/>
      <c r="D28" s="517"/>
      <c r="E28" s="540">
        <f>(L26+R26+X26+AD26+AJ26+AP26+AV26+BB26+BH26+BH31+(BB31*BB28/1000)+L31+AV31)/(G25*F32)</f>
        <v>1</v>
      </c>
      <c r="F28" s="474"/>
      <c r="G28" s="475"/>
      <c r="H28" s="551" t="s">
        <v>223</v>
      </c>
      <c r="I28" s="552" t="s">
        <v>223</v>
      </c>
      <c r="J28" s="552" t="s">
        <v>223</v>
      </c>
      <c r="K28" s="552" t="s">
        <v>223</v>
      </c>
      <c r="L28" s="552" t="s">
        <v>223</v>
      </c>
      <c r="M28" s="553" t="s">
        <v>223</v>
      </c>
      <c r="N28" s="304" t="str">
        <f>VLOOKUP(N23,Friteuse!A:M,4,FALSE())</f>
        <v>Creme</v>
      </c>
      <c r="O28" s="79"/>
      <c r="P28" s="79"/>
      <c r="Q28" s="79"/>
      <c r="R28" s="530">
        <f>VLOOKUP(N23,Friteuse!A:M,5,FALSE())*P26</f>
        <v>1.2E-2</v>
      </c>
      <c r="S28" s="475"/>
      <c r="T28" s="302" t="str">
        <f>VLOOKUP(T23,Wok!A:M,4,FALSE())</f>
        <v>Poivron R/V</v>
      </c>
      <c r="U28" s="77"/>
      <c r="V28" s="77"/>
      <c r="W28" s="77"/>
      <c r="X28" s="530">
        <f>VLOOKUP(T23,Wok!A:M,5,FALSE())*V26</f>
        <v>1.17</v>
      </c>
      <c r="Y28" s="475"/>
      <c r="Z28" s="302" t="str">
        <f>VLOOKUP(Z23,Poele!A:M,4,FALSE())</f>
        <v>Oignons</v>
      </c>
      <c r="AA28" s="77"/>
      <c r="AB28" s="77"/>
      <c r="AC28" s="77"/>
      <c r="AD28" s="530">
        <f>VLOOKUP(Z23,Poele!A:M,5,FALSE())*AB26</f>
        <v>0.16199999999999998</v>
      </c>
      <c r="AE28" s="475"/>
      <c r="AF28" s="302" t="str">
        <f>VLOOKUP(AF23,Four!A:M,4,FALSE())</f>
        <v>Poivron R/V</v>
      </c>
      <c r="AG28" s="77"/>
      <c r="AH28" s="77"/>
      <c r="AI28" s="77"/>
      <c r="AJ28" s="530">
        <f>VLOOKUP(AF23,Four!A:M,5,FALSE())*AH26</f>
        <v>1.8</v>
      </c>
      <c r="AK28" s="475"/>
      <c r="AL28" s="302" t="str">
        <f>VLOOKUP(AL23,Four!A:M,4,FALSE())</f>
        <v>Bechamel</v>
      </c>
      <c r="AM28" s="77"/>
      <c r="AN28" s="77"/>
      <c r="AO28" s="77"/>
      <c r="AP28" s="530">
        <f>VLOOKUP(AL23,Four!A:M,5,FALSE())*AN26</f>
        <v>0.78</v>
      </c>
      <c r="AQ28" s="475"/>
      <c r="AR28" s="481" t="s">
        <v>54</v>
      </c>
      <c r="AS28" s="431"/>
      <c r="AT28" s="431"/>
      <c r="AU28" s="431"/>
      <c r="AV28" s="431"/>
      <c r="AW28" s="432"/>
      <c r="AX28" s="481" t="s">
        <v>55</v>
      </c>
      <c r="AY28" s="431"/>
      <c r="AZ28" s="431"/>
      <c r="BA28" s="431"/>
      <c r="BB28" s="531">
        <v>60</v>
      </c>
      <c r="BC28" s="432"/>
      <c r="BD28" s="483" t="s">
        <v>163</v>
      </c>
      <c r="BE28" s="431"/>
      <c r="BF28" s="431"/>
      <c r="BG28" s="431"/>
      <c r="BH28" s="431"/>
      <c r="BI28" s="484"/>
    </row>
    <row r="29" spans="1:61" ht="17.25" customHeight="1" thickBot="1">
      <c r="A29" s="401" t="s">
        <v>81</v>
      </c>
      <c r="B29" s="513" t="s">
        <v>158</v>
      </c>
      <c r="C29" s="445"/>
      <c r="D29" s="445"/>
      <c r="E29" s="445"/>
      <c r="F29" s="541">
        <v>0.6</v>
      </c>
      <c r="G29" s="446"/>
      <c r="H29" s="276" t="s">
        <v>23</v>
      </c>
      <c r="I29" s="62">
        <v>7.0000000000000007E-2</v>
      </c>
      <c r="J29" s="63">
        <f>+I29*$C24*$F$9</f>
        <v>4.2</v>
      </c>
      <c r="K29" s="276" t="s">
        <v>24</v>
      </c>
      <c r="L29" s="64">
        <v>4</v>
      </c>
      <c r="M29" s="277">
        <f>L29/($F32*$C25)</f>
        <v>6.835269993164729E-2</v>
      </c>
      <c r="N29" s="304" t="str">
        <f>VLOOKUP(N23,Friteuse!A:M,6,FALSE())</f>
        <v>Tandoori</v>
      </c>
      <c r="O29" s="79"/>
      <c r="P29" s="79"/>
      <c r="Q29" s="79"/>
      <c r="R29" s="530">
        <f>VLOOKUP(N23,Friteuse!A:M,7,FALSE())*P26</f>
        <v>1.7999999999999999E-2</v>
      </c>
      <c r="S29" s="475"/>
      <c r="T29" s="302" t="str">
        <f>VLOOKUP(T23,Wok!A:M,6,FALSE())</f>
        <v>Oignon</v>
      </c>
      <c r="U29" s="77"/>
      <c r="V29" s="77"/>
      <c r="W29" s="77"/>
      <c r="X29" s="530">
        <f>VLOOKUP(T23,Wok!A:M,7,FALSE())*V26</f>
        <v>0.70199999999999996</v>
      </c>
      <c r="Y29" s="475"/>
      <c r="Z29" s="302" t="str">
        <f>VLOOKUP(Z23,Poele!A:M,6,FALSE())</f>
        <v>Champ. paris</v>
      </c>
      <c r="AA29" s="77"/>
      <c r="AB29" s="77"/>
      <c r="AC29" s="77"/>
      <c r="AD29" s="530">
        <f>VLOOKUP(Z23,Poele!A:M,7,FALSE())*AB26</f>
        <v>0.40499999999999997</v>
      </c>
      <c r="AE29" s="475"/>
      <c r="AF29" s="302" t="str">
        <f>VLOOKUP(AF23,Four!A:M,6,FALSE())</f>
        <v>Concassé</v>
      </c>
      <c r="AG29" s="77"/>
      <c r="AH29" s="77"/>
      <c r="AI29" s="77"/>
      <c r="AJ29" s="530">
        <f>VLOOKUP(AF23,Four!A:M,7,FALSE())*AH26</f>
        <v>2.6999999999999997</v>
      </c>
      <c r="AK29" s="475"/>
      <c r="AL29" s="302">
        <f>VLOOKUP(AL23,Four!A:M,6,FALSE())</f>
        <v>0</v>
      </c>
      <c r="AM29" s="77"/>
      <c r="AN29" s="77"/>
      <c r="AO29" s="77"/>
      <c r="AP29" s="530">
        <f>VLOOKUP(AL23,Four!A:M,7,FALSE())*AN26</f>
        <v>0</v>
      </c>
      <c r="AQ29" s="475"/>
      <c r="AR29" s="276" t="s">
        <v>23</v>
      </c>
      <c r="AS29" s="62">
        <v>0.08</v>
      </c>
      <c r="AT29" s="63">
        <f>+AS29*$C24*$F$9</f>
        <v>4.8</v>
      </c>
      <c r="AU29" s="276" t="s">
        <v>24</v>
      </c>
      <c r="AV29" s="64">
        <v>4</v>
      </c>
      <c r="AW29" s="277">
        <f>AV29/($F32*$C25)</f>
        <v>6.835269993164729E-2</v>
      </c>
      <c r="AX29" s="307" t="s">
        <v>23</v>
      </c>
      <c r="AY29" s="62">
        <v>0.03</v>
      </c>
      <c r="AZ29" s="95">
        <f>AY29*C24*F29/(BB28/1000)</f>
        <v>29.999999999999996</v>
      </c>
      <c r="BA29" s="276" t="s">
        <v>24</v>
      </c>
      <c r="BB29" s="96">
        <v>25</v>
      </c>
      <c r="BC29" s="313">
        <f>(BB29*BB28/1000)/($F32*$C25)</f>
        <v>2.5632262474367735E-2</v>
      </c>
      <c r="BD29" s="276" t="s">
        <v>23</v>
      </c>
      <c r="BE29" s="62">
        <v>7.0000000000000007E-2</v>
      </c>
      <c r="BF29" s="63">
        <f>+BE29*$C24*$F$9</f>
        <v>4.2</v>
      </c>
      <c r="BG29" s="276" t="s">
        <v>24</v>
      </c>
      <c r="BH29" s="64">
        <v>4</v>
      </c>
      <c r="BI29" s="65">
        <f>BH29/($F32*$C25)</f>
        <v>6.835269993164729E-2</v>
      </c>
    </row>
    <row r="30" spans="1:61" ht="17.25" customHeight="1" thickBot="1">
      <c r="A30" s="401" t="s">
        <v>94</v>
      </c>
      <c r="B30" s="544" t="s">
        <v>178</v>
      </c>
      <c r="C30" s="445"/>
      <c r="D30" s="445"/>
      <c r="E30" s="446"/>
      <c r="F30" s="319">
        <f>(L24+R24+L29+X24+AD24+AJ24+AP24+AV24+AV29+BB24+BB29*(BB28/1000)+BH24+BH29)/C25</f>
        <v>0.61</v>
      </c>
      <c r="G30" s="320">
        <f>F30/(F30+F31)</f>
        <v>0.5324720670391061</v>
      </c>
      <c r="H30" s="70" t="s">
        <v>27</v>
      </c>
      <c r="I30" s="286">
        <v>7.0000000000000007E-2</v>
      </c>
      <c r="J30" s="287">
        <f>+I30*$E24*$F29</f>
        <v>2.1</v>
      </c>
      <c r="K30" s="70" t="s">
        <v>28</v>
      </c>
      <c r="L30" s="288">
        <v>2</v>
      </c>
      <c r="M30" s="289">
        <f>L30/($F32*$E25)</f>
        <v>6.835269993164729E-2</v>
      </c>
      <c r="N30" s="304" t="str">
        <f>VLOOKUP(N23,Friteuse!A:M,8,FALSE())</f>
        <v>Sel</v>
      </c>
      <c r="O30" s="79"/>
      <c r="P30" s="79"/>
      <c r="Q30" s="79"/>
      <c r="R30" s="530">
        <f>VLOOKUP(N23,Friteuse!A:M,9,FALSE())*P26</f>
        <v>1.7999999999999999E-2</v>
      </c>
      <c r="S30" s="475"/>
      <c r="T30" s="302" t="str">
        <f>VLOOKUP(T23,Wok!A:M,8,FALSE())</f>
        <v>Nouille</v>
      </c>
      <c r="U30" s="77"/>
      <c r="V30" s="77"/>
      <c r="W30" s="77"/>
      <c r="X30" s="530">
        <f>VLOOKUP(T23,Wok!A:M,9,FALSE())*V26</f>
        <v>0.78</v>
      </c>
      <c r="Y30" s="475"/>
      <c r="Z30" s="302" t="str">
        <f>VLOOKUP(Z23,Poele!A:M,8,FALSE())</f>
        <v>Fd brun</v>
      </c>
      <c r="AA30" s="77"/>
      <c r="AB30" s="77"/>
      <c r="AC30" s="77"/>
      <c r="AD30" s="530">
        <f>VLOOKUP(Z23,Poele!A:M,9,FALSE())*AB26</f>
        <v>0.40499999999999997</v>
      </c>
      <c r="AE30" s="475"/>
      <c r="AF30" s="302" t="str">
        <f>VLOOKUP(AF23,Four!A:M,8,FALSE())</f>
        <v>Oignon</v>
      </c>
      <c r="AG30" s="77"/>
      <c r="AH30" s="77"/>
      <c r="AI30" s="77"/>
      <c r="AJ30" s="530">
        <f>VLOOKUP(AF23,Four!A:M,9,FALSE())*AH26</f>
        <v>0.9</v>
      </c>
      <c r="AK30" s="475"/>
      <c r="AL30" s="302">
        <f>VLOOKUP(AL23,Four!A:M,8,FALSE())</f>
        <v>0</v>
      </c>
      <c r="AM30" s="77"/>
      <c r="AN30" s="77"/>
      <c r="AO30" s="77"/>
      <c r="AP30" s="530">
        <f>VLOOKUP(AL23,Four!A:M,9,FALSE())*AN26</f>
        <v>0</v>
      </c>
      <c r="AQ30" s="475"/>
      <c r="AR30" s="70" t="s">
        <v>27</v>
      </c>
      <c r="AS30" s="286">
        <v>0.09</v>
      </c>
      <c r="AT30" s="287">
        <f>+AS30*$E24*$F29</f>
        <v>2.6999999999999997</v>
      </c>
      <c r="AU30" s="70" t="s">
        <v>28</v>
      </c>
      <c r="AV30" s="288">
        <v>2</v>
      </c>
      <c r="AW30" s="289">
        <f>AV30/($F32*$E25)</f>
        <v>6.835269993164729E-2</v>
      </c>
      <c r="AX30" s="80" t="s">
        <v>27</v>
      </c>
      <c r="AY30" s="286">
        <v>0.03</v>
      </c>
      <c r="AZ30" s="321">
        <f>AY30*E24*F29/(BB28/1000)</f>
        <v>14.999999999999998</v>
      </c>
      <c r="BA30" s="70" t="s">
        <v>28</v>
      </c>
      <c r="BB30" s="322">
        <v>13</v>
      </c>
      <c r="BC30" s="315">
        <f>(BB30*BB28/1000)/($F32*$E25)</f>
        <v>2.6657552973342446E-2</v>
      </c>
      <c r="BD30" s="70" t="s">
        <v>27</v>
      </c>
      <c r="BE30" s="286">
        <v>7.0000000000000007E-2</v>
      </c>
      <c r="BF30" s="287">
        <f>+BE30*$E24*$F29</f>
        <v>2.1</v>
      </c>
      <c r="BG30" s="70" t="s">
        <v>28</v>
      </c>
      <c r="BH30" s="288">
        <v>2</v>
      </c>
      <c r="BI30" s="290">
        <f>BH30/($F32*$E25)</f>
        <v>6.835269993164729E-2</v>
      </c>
    </row>
    <row r="31" spans="1:61" ht="17.25" customHeight="1" thickBot="1">
      <c r="A31" s="401" t="s">
        <v>45</v>
      </c>
      <c r="B31" s="447"/>
      <c r="C31" s="434"/>
      <c r="D31" s="434"/>
      <c r="E31" s="435"/>
      <c r="F31" s="323">
        <f>(L25+L30+R25+X25+AD25+AJ25+AP25+AV25+AV30+BB25+BB30*(BB28/1000)+BH30+BH25)/E25</f>
        <v>0.53560000000000008</v>
      </c>
      <c r="G31" s="324">
        <f>F31/(F30+F31)</f>
        <v>0.46752793296089395</v>
      </c>
      <c r="H31" s="298" t="s">
        <v>31</v>
      </c>
      <c r="I31" s="299">
        <f>+J31/$G24</f>
        <v>4.2000000000000003E-2</v>
      </c>
      <c r="J31" s="74">
        <f>SUM(J29:J30)</f>
        <v>6.3000000000000007</v>
      </c>
      <c r="K31" s="75" t="s">
        <v>31</v>
      </c>
      <c r="L31" s="300">
        <f>SUM(L29:L30)</f>
        <v>6</v>
      </c>
      <c r="M31" s="301">
        <f>L31/($F32*$G25)</f>
        <v>6.8352699931647304E-2</v>
      </c>
      <c r="N31" s="304" t="str">
        <f>VLOOKUP(N23,Friteuse!A:M,10,FALSE())</f>
        <v>Panko</v>
      </c>
      <c r="O31" s="78"/>
      <c r="P31" s="78"/>
      <c r="Q31" s="78"/>
      <c r="R31" s="530">
        <f>VLOOKUP(N23,Friteuse!A:M,11,FALSE())*P26</f>
        <v>0.12</v>
      </c>
      <c r="S31" s="475"/>
      <c r="T31" s="302" t="str">
        <f>VLOOKUP(T23,Wok!A:M,10,FALSE())</f>
        <v>Sel / Epice thai</v>
      </c>
      <c r="U31" s="81"/>
      <c r="V31" s="81"/>
      <c r="W31" s="81"/>
      <c r="X31" s="530">
        <f>VLOOKUP(T23,Wok!A:M,11,FALSE())*V26</f>
        <v>0.19500000000000001</v>
      </c>
      <c r="Y31" s="475"/>
      <c r="Z31" s="302" t="str">
        <f>VLOOKUP(Z23,Poele!A:M,10,FALSE())</f>
        <v>Mout. À l'ancienne</v>
      </c>
      <c r="AA31" s="81"/>
      <c r="AB31" s="81"/>
      <c r="AC31" s="81"/>
      <c r="AD31" s="530">
        <f>VLOOKUP(Z23,Poele!A:M,11,FALSE())*AB26</f>
        <v>8.0999999999999989E-2</v>
      </c>
      <c r="AE31" s="475"/>
      <c r="AF31" s="302" t="str">
        <f>VLOOKUP(AF23,Four!A:M,10,FALSE())</f>
        <v>Ail / Paprika / Gingembre</v>
      </c>
      <c r="AG31" s="81"/>
      <c r="AH31" s="81"/>
      <c r="AI31" s="81"/>
      <c r="AJ31" s="530">
        <f>VLOOKUP(AF23,Four!A:M,11,FALSE())*AH26</f>
        <v>0</v>
      </c>
      <c r="AK31" s="475"/>
      <c r="AL31" s="302">
        <f>VLOOKUP(AL23,Four!A:M,10,FALSE())</f>
        <v>0</v>
      </c>
      <c r="AM31" s="81"/>
      <c r="AN31" s="81"/>
      <c r="AO31" s="81"/>
      <c r="AP31" s="530">
        <f>VLOOKUP(AL23,Four!A:M,11,FALSE())*AN26</f>
        <v>0</v>
      </c>
      <c r="AQ31" s="475"/>
      <c r="AR31" s="298" t="s">
        <v>31</v>
      </c>
      <c r="AS31" s="299">
        <f>+AT31/$G24</f>
        <v>0.05</v>
      </c>
      <c r="AT31" s="74">
        <f>SUM(AT29:AT30)</f>
        <v>7.5</v>
      </c>
      <c r="AU31" s="75" t="s">
        <v>31</v>
      </c>
      <c r="AV31" s="300">
        <f>SUM(AV29:AV30)</f>
        <v>6</v>
      </c>
      <c r="AW31" s="301">
        <f>AV31/($F32*$G25)</f>
        <v>6.8352699931647304E-2</v>
      </c>
      <c r="AX31" s="308" t="s">
        <v>31</v>
      </c>
      <c r="AY31" s="299"/>
      <c r="AZ31" s="97">
        <f>SUM(AZ29:AZ30)</f>
        <v>44.999999999999993</v>
      </c>
      <c r="BA31" s="75" t="s">
        <v>31</v>
      </c>
      <c r="BB31" s="325">
        <f>SUM(BB29:BB30)</f>
        <v>38</v>
      </c>
      <c r="BC31" s="295">
        <f>(BB31*BB28/1000)/($F32*$G25)</f>
        <v>2.5974025974025972E-2</v>
      </c>
      <c r="BD31" s="298" t="s">
        <v>31</v>
      </c>
      <c r="BE31" s="299">
        <f>+BF31/$G24</f>
        <v>4.2000000000000003E-2</v>
      </c>
      <c r="BF31" s="74">
        <f>SUM(BF29:BF30)</f>
        <v>6.3000000000000007</v>
      </c>
      <c r="BG31" s="75" t="s">
        <v>31</v>
      </c>
      <c r="BH31" s="300">
        <f>SUM(BH29:BH30)</f>
        <v>6</v>
      </c>
      <c r="BI31" s="76">
        <f>BH31/($F32*$G25)</f>
        <v>6.8352699931647304E-2</v>
      </c>
    </row>
    <row r="32" spans="1:61" ht="17.25" customHeight="1" thickBot="1">
      <c r="A32" s="401" t="s">
        <v>56</v>
      </c>
      <c r="B32" s="545" t="s">
        <v>159</v>
      </c>
      <c r="C32" s="431"/>
      <c r="D32" s="431"/>
      <c r="E32" s="432"/>
      <c r="F32" s="546">
        <f>(L26+L31+R26+X26+AD26+AJ26+AP26+AV26+AV31+BB31*BB28/1000+BB26+BH26+BH31)/G25</f>
        <v>0.58520000000000005</v>
      </c>
      <c r="G32" s="435"/>
      <c r="H32" s="302" t="str">
        <f>VLOOKUP(H28,Plancha2!A:M,2,FALSE())</f>
        <v>Ingr1</v>
      </c>
      <c r="I32" s="82"/>
      <c r="J32" s="78"/>
      <c r="K32" s="78"/>
      <c r="L32" s="529">
        <f>J31</f>
        <v>6.3000000000000007</v>
      </c>
      <c r="M32" s="475"/>
      <c r="N32" s="304">
        <f>VLOOKUP(N23,Friteuse!A:M,12,FALSE())</f>
        <v>0</v>
      </c>
      <c r="O32" s="306"/>
      <c r="P32" s="306"/>
      <c r="Q32" s="306"/>
      <c r="R32" s="542">
        <f>VLOOKUP(N23,Friteuse!A:M,13,FALSE())*P26</f>
        <v>0</v>
      </c>
      <c r="S32" s="435"/>
      <c r="T32" s="302" t="str">
        <f>VLOOKUP(T23,Wok!A:M,12,FALSE())</f>
        <v>Citron</v>
      </c>
      <c r="U32" s="309"/>
      <c r="V32" s="309"/>
      <c r="W32" s="309"/>
      <c r="X32" s="542">
        <f>VLOOKUP(T23,Wok!A:M,13,FALSE())*V26</f>
        <v>7.8E-2</v>
      </c>
      <c r="Y32" s="435"/>
      <c r="Z32" s="302" t="str">
        <f>VLOOKUP(Z23,Poele!A:M,12,FALSE())</f>
        <v>Vin blc</v>
      </c>
      <c r="AA32" s="309"/>
      <c r="AB32" s="309"/>
      <c r="AC32" s="309"/>
      <c r="AD32" s="542">
        <f>VLOOKUP(Z23,Poele!A:M,13,FALSE())*AB26</f>
        <v>0.16199999999999998</v>
      </c>
      <c r="AE32" s="435"/>
      <c r="AF32" s="302">
        <f>VLOOKUP(AF23,Four!A:M,12,FALSE())</f>
        <v>0</v>
      </c>
      <c r="AG32" s="309"/>
      <c r="AH32" s="309"/>
      <c r="AI32" s="309"/>
      <c r="AJ32" s="542">
        <f>VLOOKUP(AF23,Four!A:M,13,FALSE())*AH26</f>
        <v>0</v>
      </c>
      <c r="AK32" s="435"/>
      <c r="AL32" s="302">
        <f>VLOOKUP(AL23,Four!A:M,12,FALSE())</f>
        <v>0</v>
      </c>
      <c r="AM32" s="309"/>
      <c r="AN32" s="309"/>
      <c r="AO32" s="309"/>
      <c r="AP32" s="542">
        <f>VLOOKUP(AL23,Four!A:M,13,FALSE())*AN26</f>
        <v>0</v>
      </c>
      <c r="AQ32" s="435"/>
      <c r="AR32" s="310" t="s">
        <v>74</v>
      </c>
      <c r="AS32" s="82"/>
      <c r="AT32" s="78"/>
      <c r="AU32" s="78"/>
      <c r="AV32" s="529">
        <f>AT31</f>
        <v>7.5</v>
      </c>
      <c r="AW32" s="475"/>
      <c r="AX32" s="538" t="s">
        <v>75</v>
      </c>
      <c r="AY32" s="461"/>
      <c r="AZ32" s="461"/>
      <c r="BA32" s="311"/>
      <c r="BB32" s="529">
        <f>AZ31*(BB28/1000)</f>
        <v>2.6999999999999993</v>
      </c>
      <c r="BC32" s="475"/>
      <c r="BD32" s="543" t="s">
        <v>115</v>
      </c>
      <c r="BE32" s="461"/>
      <c r="BF32" s="461"/>
      <c r="BG32" s="311"/>
      <c r="BH32" s="529">
        <f>BF31</f>
        <v>6.3000000000000007</v>
      </c>
      <c r="BI32" s="503"/>
    </row>
    <row r="33" spans="1:61" ht="17.25" customHeight="1" thickBot="1">
      <c r="A33" s="55">
        <f>A23+1</f>
        <v>45365</v>
      </c>
      <c r="B33" s="547" t="s">
        <v>8</v>
      </c>
      <c r="C33" s="432"/>
      <c r="D33" s="547" t="s">
        <v>9</v>
      </c>
      <c r="E33" s="432"/>
      <c r="F33" s="317" t="s">
        <v>10</v>
      </c>
      <c r="G33" s="318"/>
      <c r="H33" s="551" t="s">
        <v>184</v>
      </c>
      <c r="I33" s="552"/>
      <c r="J33" s="552"/>
      <c r="K33" s="552"/>
      <c r="L33" s="552"/>
      <c r="M33" s="553"/>
      <c r="N33" s="522" t="s">
        <v>197</v>
      </c>
      <c r="O33" s="431" t="s">
        <v>192</v>
      </c>
      <c r="P33" s="431" t="s">
        <v>192</v>
      </c>
      <c r="Q33" s="431" t="s">
        <v>192</v>
      </c>
      <c r="R33" s="431" t="s">
        <v>192</v>
      </c>
      <c r="S33" s="432" t="s">
        <v>192</v>
      </c>
      <c r="T33" s="523" t="s">
        <v>293</v>
      </c>
      <c r="U33" s="431" t="s">
        <v>286</v>
      </c>
      <c r="V33" s="431" t="s">
        <v>286</v>
      </c>
      <c r="W33" s="431" t="s">
        <v>286</v>
      </c>
      <c r="X33" s="431" t="s">
        <v>286</v>
      </c>
      <c r="Y33" s="432" t="s">
        <v>286</v>
      </c>
      <c r="Z33" s="523" t="s">
        <v>711</v>
      </c>
      <c r="AA33" s="431" t="s">
        <v>193</v>
      </c>
      <c r="AB33" s="431" t="s">
        <v>193</v>
      </c>
      <c r="AC33" s="431" t="s">
        <v>193</v>
      </c>
      <c r="AD33" s="431" t="s">
        <v>193</v>
      </c>
      <c r="AE33" s="432" t="s">
        <v>193</v>
      </c>
      <c r="AF33" s="519" t="s">
        <v>196</v>
      </c>
      <c r="AG33" s="431" t="s">
        <v>208</v>
      </c>
      <c r="AH33" s="431" t="s">
        <v>208</v>
      </c>
      <c r="AI33" s="431" t="s">
        <v>208</v>
      </c>
      <c r="AJ33" s="431" t="s">
        <v>208</v>
      </c>
      <c r="AK33" s="432" t="s">
        <v>208</v>
      </c>
      <c r="AL33" s="557" t="s">
        <v>226</v>
      </c>
      <c r="AM33" s="558" t="s">
        <v>298</v>
      </c>
      <c r="AN33" s="558" t="s">
        <v>298</v>
      </c>
      <c r="AO33" s="558" t="s">
        <v>298</v>
      </c>
      <c r="AP33" s="558" t="s">
        <v>298</v>
      </c>
      <c r="AQ33" s="559" t="s">
        <v>298</v>
      </c>
      <c r="AR33" s="481" t="s">
        <v>18</v>
      </c>
      <c r="AS33" s="431"/>
      <c r="AT33" s="431"/>
      <c r="AU33" s="431"/>
      <c r="AV33" s="431"/>
      <c r="AW33" s="432"/>
      <c r="AX33" s="482" t="s">
        <v>154</v>
      </c>
      <c r="AY33" s="434"/>
      <c r="AZ33" s="434"/>
      <c r="BA33" s="434"/>
      <c r="BB33" s="434"/>
      <c r="BC33" s="435"/>
      <c r="BD33" s="483" t="s">
        <v>155</v>
      </c>
      <c r="BE33" s="431"/>
      <c r="BF33" s="431"/>
      <c r="BG33" s="431"/>
      <c r="BH33" s="431"/>
      <c r="BI33" s="484"/>
    </row>
    <row r="34" spans="1:61" ht="17.25" customHeight="1">
      <c r="A34" s="269"/>
      <c r="B34" s="270" t="s">
        <v>22</v>
      </c>
      <c r="C34" s="271">
        <v>100</v>
      </c>
      <c r="D34" s="270" t="s">
        <v>22</v>
      </c>
      <c r="E34" s="272">
        <v>50</v>
      </c>
      <c r="F34" s="270" t="s">
        <v>22</v>
      </c>
      <c r="G34" s="56">
        <f t="shared" ref="G34:G35" si="3">+C34+E34</f>
        <v>150</v>
      </c>
      <c r="H34" s="276" t="s">
        <v>23</v>
      </c>
      <c r="I34" s="62">
        <v>0.05</v>
      </c>
      <c r="J34" s="63">
        <f>+I34*$C34*$F39</f>
        <v>3</v>
      </c>
      <c r="K34" s="276" t="s">
        <v>24</v>
      </c>
      <c r="L34" s="64">
        <v>3</v>
      </c>
      <c r="M34" s="277">
        <f>L34/($F42*$C35)</f>
        <v>5.1264524948735471E-2</v>
      </c>
      <c r="N34" s="273" t="s">
        <v>23</v>
      </c>
      <c r="O34" s="57">
        <v>0.01</v>
      </c>
      <c r="P34" s="58">
        <f>+O34*$C34*$F39</f>
        <v>0.6</v>
      </c>
      <c r="Q34" s="273" t="s">
        <v>24</v>
      </c>
      <c r="R34" s="84">
        <v>0.5</v>
      </c>
      <c r="S34" s="313">
        <f>R34/($F42*$C35)</f>
        <v>8.5440874914559112E-3</v>
      </c>
      <c r="T34" s="274" t="s">
        <v>23</v>
      </c>
      <c r="U34" s="60">
        <v>0.05</v>
      </c>
      <c r="V34" s="61">
        <f>+U34*$C34*$F39</f>
        <v>3</v>
      </c>
      <c r="W34" s="274" t="s">
        <v>24</v>
      </c>
      <c r="X34" s="59">
        <v>3</v>
      </c>
      <c r="Y34" s="275">
        <f>X34/($F42*$C35)</f>
        <v>5.1264524948735471E-2</v>
      </c>
      <c r="Z34" s="274" t="s">
        <v>23</v>
      </c>
      <c r="AA34" s="60">
        <v>0.03</v>
      </c>
      <c r="AB34" s="61">
        <f>+AA34*$C34*$F39</f>
        <v>1.7999999999999998</v>
      </c>
      <c r="AC34" s="274" t="s">
        <v>24</v>
      </c>
      <c r="AD34" s="59">
        <v>2</v>
      </c>
      <c r="AE34" s="275">
        <f>AD34/($F42*$C35)</f>
        <v>3.4176349965823645E-2</v>
      </c>
      <c r="AF34" s="274" t="s">
        <v>23</v>
      </c>
      <c r="AG34" s="60">
        <v>0.1</v>
      </c>
      <c r="AH34" s="61">
        <f>+AG34*$C34*$F39</f>
        <v>6</v>
      </c>
      <c r="AI34" s="274" t="s">
        <v>24</v>
      </c>
      <c r="AJ34" s="59">
        <v>6</v>
      </c>
      <c r="AK34" s="275">
        <f>AJ34/($F42*$C35)</f>
        <v>0.10252904989747094</v>
      </c>
      <c r="AL34" s="274" t="s">
        <v>23</v>
      </c>
      <c r="AM34" s="60">
        <v>0.05</v>
      </c>
      <c r="AN34" s="61">
        <f>+AM34*$C34*$F39</f>
        <v>3</v>
      </c>
      <c r="AO34" s="274" t="s">
        <v>24</v>
      </c>
      <c r="AP34" s="59">
        <v>3</v>
      </c>
      <c r="AQ34" s="275">
        <f>AP34/($F42*$C35)</f>
        <v>5.1264524948735471E-2</v>
      </c>
      <c r="AR34" s="276" t="s">
        <v>23</v>
      </c>
      <c r="AS34" s="62">
        <v>0.08</v>
      </c>
      <c r="AT34" s="63">
        <f>+AS34*$C34*$F39</f>
        <v>4.8</v>
      </c>
      <c r="AU34" s="276" t="s">
        <v>24</v>
      </c>
      <c r="AV34" s="64">
        <v>4</v>
      </c>
      <c r="AW34" s="277">
        <f>AV34/($F42*$C35)</f>
        <v>6.835269993164729E-2</v>
      </c>
      <c r="AX34" s="276" t="s">
        <v>23</v>
      </c>
      <c r="AY34" s="62">
        <v>0.43</v>
      </c>
      <c r="AZ34" s="63">
        <f>+AY34*$C34*$F39</f>
        <v>25.8</v>
      </c>
      <c r="BA34" s="276" t="s">
        <v>24</v>
      </c>
      <c r="BB34" s="64">
        <v>25</v>
      </c>
      <c r="BC34" s="277">
        <f>BB34/($F42*$C35)</f>
        <v>0.42720437457279559</v>
      </c>
      <c r="BD34" s="276" t="s">
        <v>23</v>
      </c>
      <c r="BE34" s="62">
        <v>0.02</v>
      </c>
      <c r="BF34" s="63">
        <f>+BE34*$C34*$F39</f>
        <v>1.2</v>
      </c>
      <c r="BG34" s="276" t="s">
        <v>24</v>
      </c>
      <c r="BH34" s="64">
        <v>1</v>
      </c>
      <c r="BI34" s="65">
        <f>BH34/($F42*$C35)</f>
        <v>1.7088174982911822E-2</v>
      </c>
    </row>
    <row r="35" spans="1:61" ht="17.25" customHeight="1" thickBot="1">
      <c r="A35" s="278" t="s">
        <v>111</v>
      </c>
      <c r="B35" s="266" t="s">
        <v>26</v>
      </c>
      <c r="C35" s="66">
        <v>100</v>
      </c>
      <c r="D35" s="266" t="s">
        <v>26</v>
      </c>
      <c r="E35" s="67">
        <v>50</v>
      </c>
      <c r="F35" s="266" t="s">
        <v>26</v>
      </c>
      <c r="G35" s="279">
        <f t="shared" si="3"/>
        <v>150</v>
      </c>
      <c r="H35" s="70" t="s">
        <v>27</v>
      </c>
      <c r="I35" s="286">
        <v>0.03</v>
      </c>
      <c r="J35" s="287">
        <f>+I35*$E34*$F39</f>
        <v>0.89999999999999991</v>
      </c>
      <c r="K35" s="70" t="s">
        <v>28</v>
      </c>
      <c r="L35" s="288">
        <v>1</v>
      </c>
      <c r="M35" s="289">
        <f>L35/($F42*$E35)</f>
        <v>3.4176349965823645E-2</v>
      </c>
      <c r="N35" s="68" t="s">
        <v>27</v>
      </c>
      <c r="O35" s="280">
        <v>0.02</v>
      </c>
      <c r="P35" s="281">
        <f>+O35*$E34*$F39</f>
        <v>0.6</v>
      </c>
      <c r="Q35" s="68" t="s">
        <v>28</v>
      </c>
      <c r="R35" s="314">
        <v>0.5</v>
      </c>
      <c r="S35" s="315">
        <f>R35/($F42*$E35)</f>
        <v>1.7088174982911822E-2</v>
      </c>
      <c r="T35" s="69" t="s">
        <v>27</v>
      </c>
      <c r="U35" s="284">
        <v>0.03</v>
      </c>
      <c r="V35" s="285">
        <f>+U35*$E34*$F39</f>
        <v>0.89999999999999991</v>
      </c>
      <c r="W35" s="69" t="s">
        <v>28</v>
      </c>
      <c r="X35" s="282">
        <v>1</v>
      </c>
      <c r="Y35" s="283">
        <f>X35/($F42*$E35)</f>
        <v>3.4176349965823645E-2</v>
      </c>
      <c r="Z35" s="69" t="s">
        <v>27</v>
      </c>
      <c r="AA35" s="284">
        <v>0.03</v>
      </c>
      <c r="AB35" s="285">
        <f>+AA35*$E34*$F39</f>
        <v>0.89999999999999991</v>
      </c>
      <c r="AC35" s="69" t="s">
        <v>28</v>
      </c>
      <c r="AD35" s="282">
        <v>1</v>
      </c>
      <c r="AE35" s="283">
        <f>AD35/($F42*$E35)</f>
        <v>3.4176349965823645E-2</v>
      </c>
      <c r="AF35" s="69" t="s">
        <v>27</v>
      </c>
      <c r="AG35" s="284">
        <v>0.1</v>
      </c>
      <c r="AH35" s="285">
        <f>+AG35*$E34*$F39</f>
        <v>3</v>
      </c>
      <c r="AI35" s="69" t="s">
        <v>28</v>
      </c>
      <c r="AJ35" s="282">
        <v>3</v>
      </c>
      <c r="AK35" s="283">
        <f>AJ35/($F42*$E35)</f>
        <v>0.10252904989747094</v>
      </c>
      <c r="AL35" s="69" t="s">
        <v>27</v>
      </c>
      <c r="AM35" s="284">
        <v>0.03</v>
      </c>
      <c r="AN35" s="285">
        <f>+AM35*$E34*$F39</f>
        <v>0.89999999999999991</v>
      </c>
      <c r="AO35" s="69" t="s">
        <v>28</v>
      </c>
      <c r="AP35" s="282">
        <v>1</v>
      </c>
      <c r="AQ35" s="283">
        <f>AP35/($F42*$E35)</f>
        <v>3.4176349965823645E-2</v>
      </c>
      <c r="AR35" s="70" t="s">
        <v>27</v>
      </c>
      <c r="AS35" s="286">
        <v>0.09</v>
      </c>
      <c r="AT35" s="287">
        <f>+AS35*$E34*$F39</f>
        <v>2.6999999999999997</v>
      </c>
      <c r="AU35" s="70" t="s">
        <v>28</v>
      </c>
      <c r="AV35" s="288">
        <v>2</v>
      </c>
      <c r="AW35" s="289">
        <f>AV35/($F42*$E35)</f>
        <v>6.835269993164729E-2</v>
      </c>
      <c r="AX35" s="70" t="s">
        <v>27</v>
      </c>
      <c r="AY35" s="286">
        <v>0.34</v>
      </c>
      <c r="AZ35" s="287">
        <f>+AY35*$E34*$F39</f>
        <v>10.199999999999999</v>
      </c>
      <c r="BA35" s="70" t="s">
        <v>28</v>
      </c>
      <c r="BB35" s="288">
        <v>10</v>
      </c>
      <c r="BC35" s="289">
        <f>BB35/($F42*$E35)</f>
        <v>0.34176349965823649</v>
      </c>
      <c r="BD35" s="70" t="s">
        <v>27</v>
      </c>
      <c r="BE35" s="286">
        <v>0.02</v>
      </c>
      <c r="BF35" s="287">
        <f>+BE35*$E34*$F39</f>
        <v>0.6</v>
      </c>
      <c r="BG35" s="70" t="s">
        <v>28</v>
      </c>
      <c r="BH35" s="288">
        <v>0.5</v>
      </c>
      <c r="BI35" s="290">
        <f>BH35/($F42*$E35)</f>
        <v>1.7088174982911822E-2</v>
      </c>
    </row>
    <row r="36" spans="1:61" ht="17.25" customHeight="1">
      <c r="A36" s="291" t="s">
        <v>94</v>
      </c>
      <c r="B36" s="532" t="s">
        <v>30</v>
      </c>
      <c r="C36" s="454"/>
      <c r="D36" s="455"/>
      <c r="E36" s="533">
        <f>(I34+O34+U34+AA34+AG34+AM34+AS34+AY34+BE34+BE39+AY39+AS39+I39)/2</f>
        <v>0.53500000000000014</v>
      </c>
      <c r="F36" s="457"/>
      <c r="G36" s="534">
        <f>(E36+E37)</f>
        <v>1.0100000000000002</v>
      </c>
      <c r="H36" s="298" t="s">
        <v>31</v>
      </c>
      <c r="I36" s="299">
        <f>+J36/$G34</f>
        <v>2.5999999999999999E-2</v>
      </c>
      <c r="J36" s="74">
        <f>SUM(J34:J35)</f>
        <v>3.9</v>
      </c>
      <c r="K36" s="75" t="s">
        <v>31</v>
      </c>
      <c r="L36" s="300">
        <f>SUM(L34:L35)</f>
        <v>4</v>
      </c>
      <c r="M36" s="301">
        <f>L36/($F42*$G35)</f>
        <v>4.5568466621098203E-2</v>
      </c>
      <c r="N36" s="292" t="s">
        <v>31</v>
      </c>
      <c r="O36" s="293">
        <f>+P36/$G34</f>
        <v>8.0000000000000002E-3</v>
      </c>
      <c r="P36" s="71">
        <f>SUM(P34:P35)</f>
        <v>1.2</v>
      </c>
      <c r="Q36" s="85" t="s">
        <v>31</v>
      </c>
      <c r="R36" s="316">
        <f>SUM(R34:R35)</f>
        <v>1</v>
      </c>
      <c r="S36" s="295">
        <f>R36/($F42*$G35)</f>
        <v>1.1392116655274551E-2</v>
      </c>
      <c r="T36" s="296" t="s">
        <v>31</v>
      </c>
      <c r="U36" s="297">
        <f>+V36/$G34</f>
        <v>2.5999999999999999E-2</v>
      </c>
      <c r="V36" s="73">
        <f>SUM(V34:V35)</f>
        <v>3.9</v>
      </c>
      <c r="W36" s="72" t="s">
        <v>31</v>
      </c>
      <c r="X36" s="294">
        <f>SUM(X34:X35)</f>
        <v>4</v>
      </c>
      <c r="Y36" s="295">
        <f>X36/($F42*$G35)</f>
        <v>4.5568466621098203E-2</v>
      </c>
      <c r="Z36" s="296" t="s">
        <v>31</v>
      </c>
      <c r="AA36" s="297">
        <f>+AB36/$G34</f>
        <v>1.7999999999999999E-2</v>
      </c>
      <c r="AB36" s="73">
        <f>SUM(AB34:AB35)</f>
        <v>2.6999999999999997</v>
      </c>
      <c r="AC36" s="72" t="s">
        <v>31</v>
      </c>
      <c r="AD36" s="294">
        <f>SUM(AD34:AD35)</f>
        <v>3</v>
      </c>
      <c r="AE36" s="295">
        <f>AD36/($F42*$G35)</f>
        <v>3.4176349965823652E-2</v>
      </c>
      <c r="AF36" s="296" t="s">
        <v>31</v>
      </c>
      <c r="AG36" s="297">
        <f>+AH36/$G34</f>
        <v>0.06</v>
      </c>
      <c r="AH36" s="73">
        <f>SUM(AH34:AH35)</f>
        <v>9</v>
      </c>
      <c r="AI36" s="72" t="s">
        <v>31</v>
      </c>
      <c r="AJ36" s="294">
        <f>SUM(AJ34:AJ35)</f>
        <v>9</v>
      </c>
      <c r="AK36" s="295">
        <f>AJ36/($F42*$G35)</f>
        <v>0.10252904989747094</v>
      </c>
      <c r="AL36" s="296" t="s">
        <v>31</v>
      </c>
      <c r="AM36" s="297">
        <f>+AN36/$G34</f>
        <v>2.5999999999999999E-2</v>
      </c>
      <c r="AN36" s="73">
        <f>SUM(AN34:AN35)</f>
        <v>3.9</v>
      </c>
      <c r="AO36" s="72" t="s">
        <v>31</v>
      </c>
      <c r="AP36" s="294">
        <f>SUM(AP34:AP35)</f>
        <v>4</v>
      </c>
      <c r="AQ36" s="295">
        <f>AP36/($F42*$G35)</f>
        <v>4.5568466621098203E-2</v>
      </c>
      <c r="AR36" s="298" t="s">
        <v>31</v>
      </c>
      <c r="AS36" s="299">
        <f>+AT36/$G34</f>
        <v>0.05</v>
      </c>
      <c r="AT36" s="74">
        <f>SUM(AT34:AT35)</f>
        <v>7.5</v>
      </c>
      <c r="AU36" s="75" t="s">
        <v>31</v>
      </c>
      <c r="AV36" s="300">
        <f>SUM(AV34:AV35)</f>
        <v>6</v>
      </c>
      <c r="AW36" s="301">
        <f>AV36/($F42*$G35)</f>
        <v>6.8352699931647304E-2</v>
      </c>
      <c r="AX36" s="298" t="s">
        <v>31</v>
      </c>
      <c r="AY36" s="299">
        <f>+AZ36/$G34</f>
        <v>0.24</v>
      </c>
      <c r="AZ36" s="74">
        <f>SUM(AZ34:AZ35)</f>
        <v>36</v>
      </c>
      <c r="BA36" s="75" t="s">
        <v>31</v>
      </c>
      <c r="BB36" s="300">
        <f>SUM(BB34:BB35)</f>
        <v>35</v>
      </c>
      <c r="BC36" s="301">
        <f>BB36/($F42*$G35)</f>
        <v>0.39872408293460926</v>
      </c>
      <c r="BD36" s="298" t="s">
        <v>31</v>
      </c>
      <c r="BE36" s="299">
        <f>+BF36/$G34</f>
        <v>1.1999999999999999E-2</v>
      </c>
      <c r="BF36" s="74">
        <f>SUM(BF34:BF35)</f>
        <v>1.7999999999999998</v>
      </c>
      <c r="BG36" s="75" t="s">
        <v>31</v>
      </c>
      <c r="BH36" s="300">
        <f>SUM(BH34:BH35)</f>
        <v>1.5</v>
      </c>
      <c r="BI36" s="76">
        <f>BH36/($F42*$G35)</f>
        <v>1.7088174982911826E-2</v>
      </c>
    </row>
    <row r="37" spans="1:61" ht="17.25" customHeight="1" thickBot="1">
      <c r="A37" s="291" t="s">
        <v>29</v>
      </c>
      <c r="B37" s="535" t="s">
        <v>34</v>
      </c>
      <c r="C37" s="461"/>
      <c r="D37" s="462"/>
      <c r="E37" s="536">
        <f>(I35+O35+U35+AA35+AG35+AM35+AS35+AY35+BE35+AS40+AY40+BE40+I40)/2</f>
        <v>0.47500000000000009</v>
      </c>
      <c r="F37" s="464"/>
      <c r="G37" s="459"/>
      <c r="H37" s="537">
        <f>VLOOKUP(H33,Plancha2!A:M,2,FALSE())</f>
        <v>0</v>
      </c>
      <c r="I37" s="474"/>
      <c r="J37" s="474"/>
      <c r="K37" s="306"/>
      <c r="L37" s="529">
        <f>J36</f>
        <v>3.9</v>
      </c>
      <c r="M37" s="475"/>
      <c r="N37" s="304" t="str">
        <f>VLOOKUP(N33,Friteuse!A:M,2,FALSE())</f>
        <v>Aiguilette</v>
      </c>
      <c r="O37" s="305"/>
      <c r="P37" s="305"/>
      <c r="Q37" s="77"/>
      <c r="R37" s="529">
        <f>VLOOKUP(N33,Friteuse!A:M,3,FALSE())*P36</f>
        <v>1.032</v>
      </c>
      <c r="S37" s="475"/>
      <c r="T37" s="302" t="str">
        <f>VLOOKUP(T33,Wok!A:M,2,FALSE())</f>
        <v>Soja frais</v>
      </c>
      <c r="U37" s="303"/>
      <c r="V37" s="303"/>
      <c r="W37" s="77"/>
      <c r="X37" s="529">
        <f>VLOOKUP(T33,Wok!A:M,3,FALSE())*V36</f>
        <v>3.12</v>
      </c>
      <c r="Y37" s="475"/>
      <c r="Z37" s="302" t="str">
        <f>VLOOKUP(Z33,Poele!A:M,2,FALSE())</f>
        <v>Lieu</v>
      </c>
      <c r="AA37" s="303"/>
      <c r="AB37" s="303"/>
      <c r="AC37" s="77"/>
      <c r="AD37" s="529">
        <f>VLOOKUP(Z33,Poele!A:M,3,FALSE())*AB36</f>
        <v>1.7009999999999998</v>
      </c>
      <c r="AE37" s="475"/>
      <c r="AF37" s="302" t="str">
        <f>VLOOKUP(AF33,Four!A:M,2,FALSE())</f>
        <v>Saucisse fumée</v>
      </c>
      <c r="AG37" s="303"/>
      <c r="AH37" s="303"/>
      <c r="AI37" s="77"/>
      <c r="AJ37" s="529">
        <f>VLOOKUP(AF33,Four!A:M,3,FALSE())*AH36</f>
        <v>3.6</v>
      </c>
      <c r="AK37" s="475"/>
      <c r="AL37" s="302" t="str">
        <f>VLOOKUP(AL33,Four!A:M,2,FALSE())</f>
        <v>Porc travers</v>
      </c>
      <c r="AM37" s="303"/>
      <c r="AN37" s="303"/>
      <c r="AO37" s="77"/>
      <c r="AP37" s="529">
        <f>VLOOKUP(AL33,Four!A:M,3,FALSE())*AN36</f>
        <v>3.3149999999999999</v>
      </c>
      <c r="AQ37" s="475"/>
      <c r="AR37" s="538" t="s">
        <v>42</v>
      </c>
      <c r="AS37" s="461"/>
      <c r="AT37" s="461"/>
      <c r="AU37" s="306"/>
      <c r="AV37" s="529">
        <f>AT36</f>
        <v>7.5</v>
      </c>
      <c r="AW37" s="475"/>
      <c r="AX37" s="528" t="s">
        <v>156</v>
      </c>
      <c r="AY37" s="471"/>
      <c r="AZ37" s="471"/>
      <c r="BA37" s="78"/>
      <c r="BB37" s="529">
        <f>AZ36</f>
        <v>36</v>
      </c>
      <c r="BC37" s="475"/>
      <c r="BD37" s="528" t="s">
        <v>157</v>
      </c>
      <c r="BE37" s="471"/>
      <c r="BF37" s="471"/>
      <c r="BG37" s="78"/>
      <c r="BH37" s="529">
        <f>BF36</f>
        <v>1.7999999999999998</v>
      </c>
      <c r="BI37" s="503"/>
    </row>
    <row r="38" spans="1:61" ht="17.25" customHeight="1" thickBot="1">
      <c r="A38" s="291" t="s">
        <v>45</v>
      </c>
      <c r="B38" s="539" t="s">
        <v>46</v>
      </c>
      <c r="C38" s="445"/>
      <c r="D38" s="517"/>
      <c r="E38" s="540">
        <f>(L36+R36+X36+AD36+AJ36+AP36+AV36+BB36+BH36+BH41+(BB41*BB38/1000)+L41+AV41)/(G35*F42)</f>
        <v>1</v>
      </c>
      <c r="F38" s="474"/>
      <c r="G38" s="475"/>
      <c r="H38" s="551" t="s">
        <v>160</v>
      </c>
      <c r="I38" s="552" t="s">
        <v>223</v>
      </c>
      <c r="J38" s="552" t="s">
        <v>223</v>
      </c>
      <c r="K38" s="552" t="s">
        <v>223</v>
      </c>
      <c r="L38" s="552" t="s">
        <v>223</v>
      </c>
      <c r="M38" s="553" t="s">
        <v>223</v>
      </c>
      <c r="N38" s="304" t="str">
        <f>VLOOKUP(N33,Friteuse!A:M,4,FALSE())</f>
        <v>Creme</v>
      </c>
      <c r="O38" s="79"/>
      <c r="P38" s="79"/>
      <c r="Q38" s="79"/>
      <c r="R38" s="530">
        <f>VLOOKUP(N33,Friteuse!A:M,5,FALSE())*P36</f>
        <v>1.2E-2</v>
      </c>
      <c r="S38" s="475"/>
      <c r="T38" s="302" t="str">
        <f>VLOOKUP(T33,Wok!A:M,4,FALSE())</f>
        <v>Poivron rouge</v>
      </c>
      <c r="U38" s="77"/>
      <c r="V38" s="77"/>
      <c r="W38" s="77"/>
      <c r="X38" s="530">
        <f>VLOOKUP(T33,Wok!A:M,5,FALSE())*V36</f>
        <v>0.78</v>
      </c>
      <c r="Y38" s="475"/>
      <c r="Z38" s="302" t="str">
        <f>VLOOKUP(Z33,Poele!A:M,4,FALSE())</f>
        <v xml:space="preserve">Tomate </v>
      </c>
      <c r="AA38" s="77"/>
      <c r="AB38" s="77"/>
      <c r="AC38" s="77"/>
      <c r="AD38" s="530">
        <f>VLOOKUP(Z33,Poele!A:M,5,FALSE())*AB36</f>
        <v>0.32399999999999995</v>
      </c>
      <c r="AE38" s="475"/>
      <c r="AF38" s="302" t="str">
        <f>VLOOKUP(AF33,Four!A:M,4,FALSE())</f>
        <v>Poivron R/V</v>
      </c>
      <c r="AG38" s="77"/>
      <c r="AH38" s="77"/>
      <c r="AI38" s="77"/>
      <c r="AJ38" s="530">
        <f>VLOOKUP(AF33,Four!A:M,5,FALSE())*AH36</f>
        <v>1.8</v>
      </c>
      <c r="AK38" s="475"/>
      <c r="AL38" s="302" t="str">
        <f>VLOOKUP(AL33,Four!A:M,4,FALSE())</f>
        <v>Sauce BBQ</v>
      </c>
      <c r="AM38" s="77"/>
      <c r="AN38" s="77"/>
      <c r="AO38" s="77"/>
      <c r="AP38" s="530">
        <f>VLOOKUP(AL33,Four!A:M,5,FALSE())*AN36</f>
        <v>0.58499999999999996</v>
      </c>
      <c r="AQ38" s="475"/>
      <c r="AR38" s="481" t="s">
        <v>54</v>
      </c>
      <c r="AS38" s="431"/>
      <c r="AT38" s="431"/>
      <c r="AU38" s="431"/>
      <c r="AV38" s="431"/>
      <c r="AW38" s="432"/>
      <c r="AX38" s="481" t="s">
        <v>55</v>
      </c>
      <c r="AY38" s="431"/>
      <c r="AZ38" s="431"/>
      <c r="BA38" s="431"/>
      <c r="BB38" s="531">
        <v>60</v>
      </c>
      <c r="BC38" s="432"/>
      <c r="BD38" s="483" t="s">
        <v>285</v>
      </c>
      <c r="BE38" s="431"/>
      <c r="BF38" s="431"/>
      <c r="BG38" s="431"/>
      <c r="BH38" s="431"/>
      <c r="BI38" s="484"/>
    </row>
    <row r="39" spans="1:61" ht="17.25" customHeight="1" thickBot="1">
      <c r="A39" s="291" t="s">
        <v>56</v>
      </c>
      <c r="B39" s="513" t="s">
        <v>158</v>
      </c>
      <c r="C39" s="445"/>
      <c r="D39" s="445"/>
      <c r="E39" s="445"/>
      <c r="F39" s="541">
        <v>0.6</v>
      </c>
      <c r="G39" s="446"/>
      <c r="H39" s="276" t="s">
        <v>23</v>
      </c>
      <c r="I39" s="62">
        <v>7.0000000000000007E-2</v>
      </c>
      <c r="J39" s="63">
        <f>+I39*$C34*$F$9</f>
        <v>4.2</v>
      </c>
      <c r="K39" s="276" t="s">
        <v>24</v>
      </c>
      <c r="L39" s="64">
        <v>4</v>
      </c>
      <c r="M39" s="277">
        <f>L39/($F42*$C35)</f>
        <v>6.835269993164729E-2</v>
      </c>
      <c r="N39" s="304" t="str">
        <f>VLOOKUP(N33,Friteuse!A:M,6,FALSE())</f>
        <v>Tandoori</v>
      </c>
      <c r="O39" s="79"/>
      <c r="P39" s="79"/>
      <c r="Q39" s="79"/>
      <c r="R39" s="530">
        <f>VLOOKUP(N33,Friteuse!A:M,7,FALSE())*P36</f>
        <v>1.7999999999999999E-2</v>
      </c>
      <c r="S39" s="475"/>
      <c r="T39" s="302" t="str">
        <f>VLOOKUP(T33,Wok!A:M,6,FALSE())</f>
        <v>Sce soja diluée</v>
      </c>
      <c r="U39" s="77"/>
      <c r="V39" s="77"/>
      <c r="W39" s="77"/>
      <c r="X39" s="530">
        <f>VLOOKUP(T33,Wok!A:M,7,FALSE())*V36</f>
        <v>0</v>
      </c>
      <c r="Y39" s="475"/>
      <c r="Z39" s="302" t="str">
        <f>VLOOKUP(Z33,Poele!A:M,6,FALSE())</f>
        <v>Lait de coco</v>
      </c>
      <c r="AA39" s="77"/>
      <c r="AB39" s="77"/>
      <c r="AC39" s="77"/>
      <c r="AD39" s="530">
        <f>VLOOKUP(Z33,Poele!A:M,7,FALSE())*AB36</f>
        <v>0.21599999999999997</v>
      </c>
      <c r="AE39" s="475"/>
      <c r="AF39" s="302" t="str">
        <f>VLOOKUP(AF33,Four!A:M,6,FALSE())</f>
        <v>Concassé</v>
      </c>
      <c r="AG39" s="77"/>
      <c r="AH39" s="77"/>
      <c r="AI39" s="77"/>
      <c r="AJ39" s="530">
        <f>VLOOKUP(AF33,Four!A:M,7,FALSE())*AH36</f>
        <v>2.6999999999999997</v>
      </c>
      <c r="AK39" s="475"/>
      <c r="AL39" s="302">
        <f>VLOOKUP(AL33,Four!A:M,6,FALSE())</f>
        <v>0</v>
      </c>
      <c r="AM39" s="77"/>
      <c r="AN39" s="77"/>
      <c r="AO39" s="77"/>
      <c r="AP39" s="530">
        <f>VLOOKUP(AL33,Four!A:M,7,FALSE())*AN36</f>
        <v>0</v>
      </c>
      <c r="AQ39" s="475"/>
      <c r="AR39" s="276" t="s">
        <v>23</v>
      </c>
      <c r="AS39" s="62">
        <v>0.08</v>
      </c>
      <c r="AT39" s="63">
        <f>+AS39*$C34*$F$9</f>
        <v>4.8</v>
      </c>
      <c r="AU39" s="276" t="s">
        <v>24</v>
      </c>
      <c r="AV39" s="64">
        <v>4</v>
      </c>
      <c r="AW39" s="277">
        <f>AV39/($F42*$C35)</f>
        <v>6.835269993164729E-2</v>
      </c>
      <c r="AX39" s="307" t="s">
        <v>23</v>
      </c>
      <c r="AY39" s="62">
        <v>0.03</v>
      </c>
      <c r="AZ39" s="95">
        <f>AY39*C34*F39/(BB38/1000)</f>
        <v>29.999999999999996</v>
      </c>
      <c r="BA39" s="276" t="s">
        <v>24</v>
      </c>
      <c r="BB39" s="96">
        <v>25</v>
      </c>
      <c r="BC39" s="313">
        <f>(BB39*BB38/1000)/($F42*$C35)</f>
        <v>2.5632262474367735E-2</v>
      </c>
      <c r="BD39" s="276" t="s">
        <v>23</v>
      </c>
      <c r="BE39" s="62">
        <v>7.0000000000000007E-2</v>
      </c>
      <c r="BF39" s="63">
        <f>+BE39*$C34*$F$9</f>
        <v>4.2</v>
      </c>
      <c r="BG39" s="276" t="s">
        <v>24</v>
      </c>
      <c r="BH39" s="64">
        <v>4</v>
      </c>
      <c r="BI39" s="65">
        <f>BH39/($F42*$C35)</f>
        <v>6.835269993164729E-2</v>
      </c>
    </row>
    <row r="40" spans="1:61" ht="17.25" customHeight="1" thickBot="1">
      <c r="A40" s="291"/>
      <c r="B40" s="544" t="s">
        <v>178</v>
      </c>
      <c r="C40" s="445"/>
      <c r="D40" s="445"/>
      <c r="E40" s="446"/>
      <c r="F40" s="319">
        <f>(L34+R34+L39+X34+AD34+AJ34+AP34+AV34+AV39+BB34+BB39*(BB38/1000)+BH34+BH39)/C35</f>
        <v>0.61</v>
      </c>
      <c r="G40" s="320">
        <f>F40/(F40+F41)</f>
        <v>0.5324720670391061</v>
      </c>
      <c r="H40" s="70" t="s">
        <v>27</v>
      </c>
      <c r="I40" s="286">
        <v>7.0000000000000007E-2</v>
      </c>
      <c r="J40" s="287">
        <f>+I40*$E34*$F39</f>
        <v>2.1</v>
      </c>
      <c r="K40" s="70" t="s">
        <v>28</v>
      </c>
      <c r="L40" s="288">
        <v>2</v>
      </c>
      <c r="M40" s="289">
        <f>L40/($F42*$E35)</f>
        <v>6.835269993164729E-2</v>
      </c>
      <c r="N40" s="302" t="str">
        <f>VLOOKUP(N33,Friteuse!A:M,8,FALSE())</f>
        <v>Sel</v>
      </c>
      <c r="O40" s="79"/>
      <c r="P40" s="79"/>
      <c r="Q40" s="79"/>
      <c r="R40" s="530">
        <f>VLOOKUP(N33,Friteuse!A:M,9,FALSE())*P36</f>
        <v>1.7999999999999999E-2</v>
      </c>
      <c r="S40" s="475"/>
      <c r="T40" s="302">
        <f>VLOOKUP(T33,Wok!A:M,8,FALSE())</f>
        <v>0</v>
      </c>
      <c r="U40" s="77"/>
      <c r="V40" s="77"/>
      <c r="W40" s="77"/>
      <c r="X40" s="530">
        <f>VLOOKUP(T33,Wok!A:M,9,FALSE())*V36</f>
        <v>0</v>
      </c>
      <c r="Y40" s="475"/>
      <c r="Z40" s="302" t="str">
        <f>VLOOKUP(Z33,Poele!A:M,8,FALSE())</f>
        <v>Curry gold</v>
      </c>
      <c r="AA40" s="77"/>
      <c r="AB40" s="77"/>
      <c r="AC40" s="77"/>
      <c r="AD40" s="530">
        <f>VLOOKUP(Z33,Poele!A:M,9,FALSE())*AB36</f>
        <v>2.6999999999999996E-2</v>
      </c>
      <c r="AE40" s="475"/>
      <c r="AF40" s="302" t="str">
        <f>VLOOKUP(AF33,Four!A:M,8,FALSE())</f>
        <v>Oignon</v>
      </c>
      <c r="AG40" s="77"/>
      <c r="AH40" s="77"/>
      <c r="AI40" s="77"/>
      <c r="AJ40" s="530">
        <f>VLOOKUP(AF33,Four!A:M,9,FALSE())*AH36</f>
        <v>0.9</v>
      </c>
      <c r="AK40" s="475"/>
      <c r="AL40" s="302">
        <f>VLOOKUP(AL33,Four!A:M,8,FALSE())</f>
        <v>0</v>
      </c>
      <c r="AM40" s="77"/>
      <c r="AN40" s="77"/>
      <c r="AO40" s="77"/>
      <c r="AP40" s="530">
        <f>VLOOKUP(AL33,Four!A:M,9,FALSE())*AN36</f>
        <v>0</v>
      </c>
      <c r="AQ40" s="475"/>
      <c r="AR40" s="70" t="s">
        <v>27</v>
      </c>
      <c r="AS40" s="286">
        <v>0.09</v>
      </c>
      <c r="AT40" s="287">
        <f>+AS40*$E34*$F39</f>
        <v>2.6999999999999997</v>
      </c>
      <c r="AU40" s="70" t="s">
        <v>28</v>
      </c>
      <c r="AV40" s="288">
        <v>2</v>
      </c>
      <c r="AW40" s="289">
        <f>AV40/($F42*$E35)</f>
        <v>6.835269993164729E-2</v>
      </c>
      <c r="AX40" s="80" t="s">
        <v>27</v>
      </c>
      <c r="AY40" s="286">
        <v>0.03</v>
      </c>
      <c r="AZ40" s="321">
        <f>AY40*E34*F39/(BB38/1000)</f>
        <v>14.999999999999998</v>
      </c>
      <c r="BA40" s="70" t="s">
        <v>28</v>
      </c>
      <c r="BB40" s="322">
        <v>13</v>
      </c>
      <c r="BC40" s="315">
        <f>(BB40*BB38/1000)/($F42*$E35)</f>
        <v>2.6657552973342446E-2</v>
      </c>
      <c r="BD40" s="70" t="s">
        <v>27</v>
      </c>
      <c r="BE40" s="286">
        <v>7.0000000000000007E-2</v>
      </c>
      <c r="BF40" s="287">
        <f>+BE40*$E34*$F39</f>
        <v>2.1</v>
      </c>
      <c r="BG40" s="70" t="s">
        <v>28</v>
      </c>
      <c r="BH40" s="288">
        <v>2</v>
      </c>
      <c r="BI40" s="290">
        <f>BH40/($F42*$E35)</f>
        <v>6.835269993164729E-2</v>
      </c>
    </row>
    <row r="41" spans="1:61" ht="17.25" customHeight="1" thickBot="1">
      <c r="A41" s="291"/>
      <c r="B41" s="447"/>
      <c r="C41" s="434"/>
      <c r="D41" s="434"/>
      <c r="E41" s="435"/>
      <c r="F41" s="323">
        <f>(L35+L40+R35+X35+AD35+AJ35+AP35+AV35+AV40+BB35+BB40*(BB38/1000)+BH40+BH35)/E35</f>
        <v>0.53560000000000008</v>
      </c>
      <c r="G41" s="324">
        <f>F41/(F40+F41)</f>
        <v>0.46752793296089395</v>
      </c>
      <c r="H41" s="298" t="s">
        <v>31</v>
      </c>
      <c r="I41" s="299">
        <f>+J41/$G34</f>
        <v>4.2000000000000003E-2</v>
      </c>
      <c r="J41" s="74">
        <f>SUM(J39:J40)</f>
        <v>6.3000000000000007</v>
      </c>
      <c r="K41" s="75" t="s">
        <v>31</v>
      </c>
      <c r="L41" s="300">
        <f>SUM(L39:L40)</f>
        <v>6</v>
      </c>
      <c r="M41" s="301">
        <f>L41/($F42*$G35)</f>
        <v>6.8352699931647304E-2</v>
      </c>
      <c r="N41" s="302" t="str">
        <f>VLOOKUP(N33,Friteuse!A:M,10,FALSE())</f>
        <v>Panko</v>
      </c>
      <c r="O41" s="78"/>
      <c r="P41" s="78"/>
      <c r="Q41" s="78"/>
      <c r="R41" s="530">
        <f>VLOOKUP(N33,Friteuse!A:M,11,FALSE())*P36</f>
        <v>0.12</v>
      </c>
      <c r="S41" s="475"/>
      <c r="T41" s="302">
        <f>VLOOKUP(T33,Wok!A:M,10,FALSE())</f>
        <v>0</v>
      </c>
      <c r="U41" s="81"/>
      <c r="V41" s="81"/>
      <c r="W41" s="81"/>
      <c r="X41" s="530">
        <f>VLOOKUP(T33,Wok!A:M,11,FALSE())*V36</f>
        <v>0</v>
      </c>
      <c r="Y41" s="475"/>
      <c r="Z41" s="302" t="str">
        <f>VLOOKUP(Z33,Poele!A:M,10,FALSE())</f>
        <v>Gingembre moulu</v>
      </c>
      <c r="AA41" s="81"/>
      <c r="AB41" s="81"/>
      <c r="AC41" s="81"/>
      <c r="AD41" s="530">
        <f>VLOOKUP(Z33,Poele!A:M,11,FALSE())*AB36</f>
        <v>2.6999999999999996E-2</v>
      </c>
      <c r="AE41" s="475"/>
      <c r="AF41" s="302" t="str">
        <f>VLOOKUP(AF33,Four!A:M,10,FALSE())</f>
        <v>Ail / Paprika / Gingembre</v>
      </c>
      <c r="AG41" s="81"/>
      <c r="AH41" s="81"/>
      <c r="AI41" s="81"/>
      <c r="AJ41" s="530">
        <f>VLOOKUP(AF33,Four!A:M,11,FALSE())*AH36</f>
        <v>0</v>
      </c>
      <c r="AK41" s="475"/>
      <c r="AL41" s="302">
        <f>VLOOKUP(AL33,Four!A:M,10,FALSE())</f>
        <v>0</v>
      </c>
      <c r="AM41" s="81"/>
      <c r="AN41" s="81"/>
      <c r="AO41" s="81"/>
      <c r="AP41" s="530">
        <f>VLOOKUP(AL33,Four!A:M,11,FALSE())*AN36</f>
        <v>0</v>
      </c>
      <c r="AQ41" s="475"/>
      <c r="AR41" s="298" t="s">
        <v>31</v>
      </c>
      <c r="AS41" s="299">
        <f>+AT41/$G34</f>
        <v>0.05</v>
      </c>
      <c r="AT41" s="74">
        <f>SUM(AT39:AT40)</f>
        <v>7.5</v>
      </c>
      <c r="AU41" s="75" t="s">
        <v>31</v>
      </c>
      <c r="AV41" s="300">
        <f>SUM(AV39:AV40)</f>
        <v>6</v>
      </c>
      <c r="AW41" s="301">
        <f>AV41/($F42*$G35)</f>
        <v>6.8352699931647304E-2</v>
      </c>
      <c r="AX41" s="308" t="s">
        <v>31</v>
      </c>
      <c r="AY41" s="299"/>
      <c r="AZ41" s="97">
        <f>SUM(AZ39:AZ40)</f>
        <v>44.999999999999993</v>
      </c>
      <c r="BA41" s="75" t="s">
        <v>31</v>
      </c>
      <c r="BB41" s="325">
        <f>SUM(BB39:BB40)</f>
        <v>38</v>
      </c>
      <c r="BC41" s="295">
        <f>(BB41*BB38/1000)/($F42*$G35)</f>
        <v>2.5974025974025972E-2</v>
      </c>
      <c r="BD41" s="298" t="s">
        <v>31</v>
      </c>
      <c r="BE41" s="299">
        <f>+BF41/$G34</f>
        <v>4.2000000000000003E-2</v>
      </c>
      <c r="BF41" s="74">
        <f>SUM(BF39:BF40)</f>
        <v>6.3000000000000007</v>
      </c>
      <c r="BG41" s="75" t="s">
        <v>31</v>
      </c>
      <c r="BH41" s="300">
        <f>SUM(BH39:BH40)</f>
        <v>6</v>
      </c>
      <c r="BI41" s="76">
        <f>BH41/($F42*$G35)</f>
        <v>6.8352699931647304E-2</v>
      </c>
    </row>
    <row r="42" spans="1:61" ht="17.25" customHeight="1" thickBot="1">
      <c r="A42" s="291"/>
      <c r="B42" s="545" t="s">
        <v>159</v>
      </c>
      <c r="C42" s="431"/>
      <c r="D42" s="431"/>
      <c r="E42" s="432"/>
      <c r="F42" s="546">
        <f>(L36+L41+R36+X36+AD36+AJ36+AP36+AV36+AV41+BB41*BB38/1000+BB36+BH36+BH41)/G35</f>
        <v>0.58520000000000005</v>
      </c>
      <c r="G42" s="435"/>
      <c r="H42" s="302" t="str">
        <f>VLOOKUP(H38,Plancha2!A:M,2,FALSE())</f>
        <v>Lamelle encornet</v>
      </c>
      <c r="I42" s="82"/>
      <c r="J42" s="78"/>
      <c r="K42" s="78"/>
      <c r="L42" s="529">
        <f>J41</f>
        <v>6.3000000000000007</v>
      </c>
      <c r="M42" s="475"/>
      <c r="N42" s="302">
        <f>VLOOKUP(N33,Friteuse!A:M,12,FALSE())</f>
        <v>0</v>
      </c>
      <c r="O42" s="306"/>
      <c r="P42" s="306"/>
      <c r="Q42" s="306"/>
      <c r="R42" s="542">
        <f>VLOOKUP(N33,Friteuse!A:M,13,FALSE())*P36</f>
        <v>0</v>
      </c>
      <c r="S42" s="435"/>
      <c r="T42" s="302">
        <f>VLOOKUP(T33,Wok!A:M,12,FALSE())</f>
        <v>0</v>
      </c>
      <c r="U42" s="309"/>
      <c r="V42" s="309"/>
      <c r="W42" s="309"/>
      <c r="X42" s="542">
        <f>VLOOKUP(T33,Wok!A:M,13,FALSE())*V36</f>
        <v>0</v>
      </c>
      <c r="Y42" s="435"/>
      <c r="Z42" s="302" t="str">
        <f>VLOOKUP(Z33,Poele!A:M,12,FALSE())</f>
        <v>Ail, oignon</v>
      </c>
      <c r="AA42" s="309"/>
      <c r="AB42" s="309"/>
      <c r="AC42" s="309"/>
      <c r="AD42" s="542">
        <f>VLOOKUP(Z33,Poele!A:M,13,FALSE())*AB36</f>
        <v>0.40499999999999997</v>
      </c>
      <c r="AE42" s="435"/>
      <c r="AF42" s="302">
        <f>VLOOKUP(AF33,Four!A:M,12,FALSE())</f>
        <v>0</v>
      </c>
      <c r="AG42" s="309"/>
      <c r="AH42" s="309"/>
      <c r="AI42" s="309"/>
      <c r="AJ42" s="542">
        <f>VLOOKUP(AF33,Four!A:M,13,FALSE())*AH36</f>
        <v>0</v>
      </c>
      <c r="AK42" s="435"/>
      <c r="AL42" s="302">
        <f>VLOOKUP(AL33,Four!A:M,12,FALSE())</f>
        <v>0</v>
      </c>
      <c r="AM42" s="309"/>
      <c r="AN42" s="309"/>
      <c r="AO42" s="309"/>
      <c r="AP42" s="542">
        <f>VLOOKUP(AL33,Four!A:M,13,FALSE())*AN36</f>
        <v>0</v>
      </c>
      <c r="AQ42" s="435"/>
      <c r="AR42" s="310" t="s">
        <v>74</v>
      </c>
      <c r="AS42" s="82"/>
      <c r="AT42" s="78"/>
      <c r="AU42" s="78"/>
      <c r="AV42" s="529">
        <f>AT41</f>
        <v>7.5</v>
      </c>
      <c r="AW42" s="475"/>
      <c r="AX42" s="538" t="s">
        <v>75</v>
      </c>
      <c r="AY42" s="461"/>
      <c r="AZ42" s="461"/>
      <c r="BA42" s="311"/>
      <c r="BB42" s="529">
        <f>AZ41*(BB38/1000)</f>
        <v>2.6999999999999993</v>
      </c>
      <c r="BC42" s="475"/>
      <c r="BD42" s="543" t="s">
        <v>115</v>
      </c>
      <c r="BE42" s="461"/>
      <c r="BF42" s="461"/>
      <c r="BG42" s="311"/>
      <c r="BH42" s="529">
        <f>BF41</f>
        <v>6.3000000000000007</v>
      </c>
      <c r="BI42" s="503"/>
    </row>
    <row r="43" spans="1:61" ht="17.25" customHeight="1" thickBot="1">
      <c r="A43" s="55">
        <f>A33+1</f>
        <v>45366</v>
      </c>
      <c r="B43" s="547" t="s">
        <v>8</v>
      </c>
      <c r="C43" s="432"/>
      <c r="D43" s="547" t="s">
        <v>9</v>
      </c>
      <c r="E43" s="432"/>
      <c r="F43" s="317" t="s">
        <v>10</v>
      </c>
      <c r="G43" s="318"/>
      <c r="H43" s="551" t="s">
        <v>184</v>
      </c>
      <c r="I43" s="552" t="s">
        <v>149</v>
      </c>
      <c r="J43" s="552" t="s">
        <v>149</v>
      </c>
      <c r="K43" s="552" t="s">
        <v>149</v>
      </c>
      <c r="L43" s="552" t="s">
        <v>149</v>
      </c>
      <c r="M43" s="553" t="s">
        <v>149</v>
      </c>
      <c r="N43" s="522" t="s">
        <v>150</v>
      </c>
      <c r="O43" s="431" t="s">
        <v>197</v>
      </c>
      <c r="P43" s="431" t="s">
        <v>197</v>
      </c>
      <c r="Q43" s="431" t="s">
        <v>197</v>
      </c>
      <c r="R43" s="431" t="s">
        <v>197</v>
      </c>
      <c r="S43" s="432" t="s">
        <v>197</v>
      </c>
      <c r="T43" s="523" t="s">
        <v>240</v>
      </c>
      <c r="U43" s="431" t="s">
        <v>164</v>
      </c>
      <c r="V43" s="431" t="s">
        <v>164</v>
      </c>
      <c r="W43" s="431" t="s">
        <v>164</v>
      </c>
      <c r="X43" s="431" t="s">
        <v>164</v>
      </c>
      <c r="Y43" s="432" t="s">
        <v>164</v>
      </c>
      <c r="Z43" s="568" t="s">
        <v>713</v>
      </c>
      <c r="AA43" s="552" t="s">
        <v>191</v>
      </c>
      <c r="AB43" s="552" t="s">
        <v>191</v>
      </c>
      <c r="AC43" s="552" t="s">
        <v>191</v>
      </c>
      <c r="AD43" s="552" t="s">
        <v>191</v>
      </c>
      <c r="AE43" s="553" t="s">
        <v>191</v>
      </c>
      <c r="AF43" s="519" t="s">
        <v>196</v>
      </c>
      <c r="AG43" s="431" t="s">
        <v>208</v>
      </c>
      <c r="AH43" s="431" t="s">
        <v>208</v>
      </c>
      <c r="AI43" s="431" t="s">
        <v>208</v>
      </c>
      <c r="AJ43" s="431" t="s">
        <v>208</v>
      </c>
      <c r="AK43" s="432" t="s">
        <v>208</v>
      </c>
      <c r="AL43" s="519" t="s">
        <v>719</v>
      </c>
      <c r="AM43" s="431" t="s">
        <v>299</v>
      </c>
      <c r="AN43" s="431" t="s">
        <v>299</v>
      </c>
      <c r="AO43" s="431" t="s">
        <v>299</v>
      </c>
      <c r="AP43" s="431" t="s">
        <v>299</v>
      </c>
      <c r="AQ43" s="432" t="s">
        <v>299</v>
      </c>
      <c r="AR43" s="481" t="s">
        <v>18</v>
      </c>
      <c r="AS43" s="431"/>
      <c r="AT43" s="431"/>
      <c r="AU43" s="431"/>
      <c r="AV43" s="431"/>
      <c r="AW43" s="432"/>
      <c r="AX43" s="482" t="s">
        <v>154</v>
      </c>
      <c r="AY43" s="434"/>
      <c r="AZ43" s="434"/>
      <c r="BA43" s="434"/>
      <c r="BB43" s="434"/>
      <c r="BC43" s="435"/>
      <c r="BD43" s="483" t="s">
        <v>155</v>
      </c>
      <c r="BE43" s="431"/>
      <c r="BF43" s="431"/>
      <c r="BG43" s="431"/>
      <c r="BH43" s="431"/>
      <c r="BI43" s="484"/>
    </row>
    <row r="44" spans="1:61" ht="17.25" customHeight="1">
      <c r="A44" s="269"/>
      <c r="B44" s="270" t="s">
        <v>22</v>
      </c>
      <c r="C44" s="271">
        <v>100</v>
      </c>
      <c r="D44" s="270" t="s">
        <v>22</v>
      </c>
      <c r="E44" s="272">
        <v>50</v>
      </c>
      <c r="F44" s="270" t="s">
        <v>22</v>
      </c>
      <c r="G44" s="56">
        <f t="shared" ref="G44:G45" si="4">+C44+E44</f>
        <v>150</v>
      </c>
      <c r="H44" s="276" t="s">
        <v>23</v>
      </c>
      <c r="I44" s="62">
        <v>0.05</v>
      </c>
      <c r="J44" s="63">
        <f>+I44*$C44*$F49</f>
        <v>3</v>
      </c>
      <c r="K44" s="276" t="s">
        <v>24</v>
      </c>
      <c r="L44" s="64">
        <v>3</v>
      </c>
      <c r="M44" s="277">
        <f>L44/($F52*$C45)</f>
        <v>5.1264524948735471E-2</v>
      </c>
      <c r="N44" s="273" t="s">
        <v>23</v>
      </c>
      <c r="O44" s="57">
        <v>0.01</v>
      </c>
      <c r="P44" s="58">
        <f>+O44*$C44*$F49</f>
        <v>0.6</v>
      </c>
      <c r="Q44" s="273" t="s">
        <v>24</v>
      </c>
      <c r="R44" s="84">
        <v>0.5</v>
      </c>
      <c r="S44" s="313">
        <f>R44/($F52*$C45)</f>
        <v>8.5440874914559112E-3</v>
      </c>
      <c r="T44" s="274" t="s">
        <v>23</v>
      </c>
      <c r="U44" s="60">
        <v>0.05</v>
      </c>
      <c r="V44" s="61">
        <f>+U44*$C44*$F49</f>
        <v>3</v>
      </c>
      <c r="W44" s="274" t="s">
        <v>24</v>
      </c>
      <c r="X44" s="59">
        <v>3</v>
      </c>
      <c r="Y44" s="275">
        <f>X44/($F52*$C45)</f>
        <v>5.1264524948735471E-2</v>
      </c>
      <c r="Z44" s="274" t="s">
        <v>23</v>
      </c>
      <c r="AA44" s="60">
        <v>0.03</v>
      </c>
      <c r="AB44" s="61">
        <f>+AA44*$C44*$F49</f>
        <v>1.7999999999999998</v>
      </c>
      <c r="AC44" s="274" t="s">
        <v>24</v>
      </c>
      <c r="AD44" s="59">
        <v>2</v>
      </c>
      <c r="AE44" s="275">
        <f>AD44/($F52*$C45)</f>
        <v>3.4176349965823645E-2</v>
      </c>
      <c r="AF44" s="274" t="s">
        <v>23</v>
      </c>
      <c r="AG44" s="60">
        <v>0.1</v>
      </c>
      <c r="AH44" s="61">
        <f>+AG44*$C44*$F49</f>
        <v>6</v>
      </c>
      <c r="AI44" s="274" t="s">
        <v>24</v>
      </c>
      <c r="AJ44" s="59">
        <v>6</v>
      </c>
      <c r="AK44" s="275">
        <f>AJ44/($F52*$C45)</f>
        <v>0.10252904989747094</v>
      </c>
      <c r="AL44" s="274" t="s">
        <v>23</v>
      </c>
      <c r="AM44" s="60">
        <v>0.05</v>
      </c>
      <c r="AN44" s="61">
        <f>+AM44*$C44*$F49</f>
        <v>3</v>
      </c>
      <c r="AO44" s="274" t="s">
        <v>24</v>
      </c>
      <c r="AP44" s="59">
        <v>3</v>
      </c>
      <c r="AQ44" s="275">
        <f>AP44/($F52*$C45)</f>
        <v>5.1264524948735471E-2</v>
      </c>
      <c r="AR44" s="276" t="s">
        <v>23</v>
      </c>
      <c r="AS44" s="62">
        <v>0.08</v>
      </c>
      <c r="AT44" s="63">
        <f>+AS44*$C44*$F49</f>
        <v>4.8</v>
      </c>
      <c r="AU44" s="276" t="s">
        <v>24</v>
      </c>
      <c r="AV44" s="64">
        <v>4</v>
      </c>
      <c r="AW44" s="277">
        <f>AV44/($F52*$C45)</f>
        <v>6.835269993164729E-2</v>
      </c>
      <c r="AX44" s="276" t="s">
        <v>23</v>
      </c>
      <c r="AY44" s="62">
        <v>0.43</v>
      </c>
      <c r="AZ44" s="63">
        <f>+AY44*$C44*$F49</f>
        <v>25.8</v>
      </c>
      <c r="BA44" s="276" t="s">
        <v>24</v>
      </c>
      <c r="BB44" s="64">
        <v>25</v>
      </c>
      <c r="BC44" s="277">
        <f>BB44/($F52*$C45)</f>
        <v>0.42720437457279559</v>
      </c>
      <c r="BD44" s="276" t="s">
        <v>23</v>
      </c>
      <c r="BE44" s="62">
        <v>0.02</v>
      </c>
      <c r="BF44" s="63">
        <f>+BE44*$C44*$F49</f>
        <v>1.2</v>
      </c>
      <c r="BG44" s="276" t="s">
        <v>24</v>
      </c>
      <c r="BH44" s="64">
        <v>1</v>
      </c>
      <c r="BI44" s="65">
        <f>BH44/($F52*$C45)</f>
        <v>1.7088174982911822E-2</v>
      </c>
    </row>
    <row r="45" spans="1:61" ht="17.25" customHeight="1" thickBot="1">
      <c r="A45" s="278" t="s">
        <v>123</v>
      </c>
      <c r="B45" s="266" t="s">
        <v>26</v>
      </c>
      <c r="C45" s="66">
        <v>100</v>
      </c>
      <c r="D45" s="266" t="s">
        <v>26</v>
      </c>
      <c r="E45" s="67">
        <v>50</v>
      </c>
      <c r="F45" s="266" t="s">
        <v>26</v>
      </c>
      <c r="G45" s="279">
        <f t="shared" si="4"/>
        <v>150</v>
      </c>
      <c r="H45" s="70" t="s">
        <v>27</v>
      </c>
      <c r="I45" s="286">
        <v>0.03</v>
      </c>
      <c r="J45" s="287">
        <f>+I45*$E44*$F49</f>
        <v>0.89999999999999991</v>
      </c>
      <c r="K45" s="70" t="s">
        <v>28</v>
      </c>
      <c r="L45" s="288">
        <v>1</v>
      </c>
      <c r="M45" s="289">
        <f>L45/($F52*$E45)</f>
        <v>3.4176349965823645E-2</v>
      </c>
      <c r="N45" s="68" t="s">
        <v>27</v>
      </c>
      <c r="O45" s="280">
        <v>0.02</v>
      </c>
      <c r="P45" s="281">
        <f>+O45*$E44*$F49</f>
        <v>0.6</v>
      </c>
      <c r="Q45" s="68" t="s">
        <v>28</v>
      </c>
      <c r="R45" s="314">
        <v>0.5</v>
      </c>
      <c r="S45" s="315">
        <f>R45/($F52*$E45)</f>
        <v>1.7088174982911822E-2</v>
      </c>
      <c r="T45" s="69" t="s">
        <v>27</v>
      </c>
      <c r="U45" s="284">
        <v>0.03</v>
      </c>
      <c r="V45" s="285">
        <f>+U45*$E44*$F49</f>
        <v>0.89999999999999991</v>
      </c>
      <c r="W45" s="69" t="s">
        <v>28</v>
      </c>
      <c r="X45" s="282">
        <v>1</v>
      </c>
      <c r="Y45" s="283">
        <f>X45/($F52*$E45)</f>
        <v>3.4176349965823645E-2</v>
      </c>
      <c r="Z45" s="69" t="s">
        <v>27</v>
      </c>
      <c r="AA45" s="284">
        <v>0.03</v>
      </c>
      <c r="AB45" s="285">
        <f>+AA45*$E44*$F49</f>
        <v>0.89999999999999991</v>
      </c>
      <c r="AC45" s="69" t="s">
        <v>28</v>
      </c>
      <c r="AD45" s="282">
        <v>1</v>
      </c>
      <c r="AE45" s="283">
        <f>AD45/($F52*$E45)</f>
        <v>3.4176349965823645E-2</v>
      </c>
      <c r="AF45" s="69" t="s">
        <v>27</v>
      </c>
      <c r="AG45" s="284">
        <v>0.1</v>
      </c>
      <c r="AH45" s="285">
        <f>+AG45*$E44*$F49</f>
        <v>3</v>
      </c>
      <c r="AI45" s="69" t="s">
        <v>28</v>
      </c>
      <c r="AJ45" s="282">
        <v>3</v>
      </c>
      <c r="AK45" s="283">
        <f>AJ45/($F52*$E45)</f>
        <v>0.10252904989747094</v>
      </c>
      <c r="AL45" s="69" t="s">
        <v>27</v>
      </c>
      <c r="AM45" s="284">
        <v>0.03</v>
      </c>
      <c r="AN45" s="285">
        <f>+AM45*$E44*$F49</f>
        <v>0.89999999999999991</v>
      </c>
      <c r="AO45" s="69" t="s">
        <v>28</v>
      </c>
      <c r="AP45" s="282">
        <v>1</v>
      </c>
      <c r="AQ45" s="283">
        <f>AP45/($F52*$E45)</f>
        <v>3.4176349965823645E-2</v>
      </c>
      <c r="AR45" s="70" t="s">
        <v>27</v>
      </c>
      <c r="AS45" s="286">
        <v>0.09</v>
      </c>
      <c r="AT45" s="287">
        <f>+AS45*$E44*$F49</f>
        <v>2.6999999999999997</v>
      </c>
      <c r="AU45" s="70" t="s">
        <v>28</v>
      </c>
      <c r="AV45" s="288">
        <v>2</v>
      </c>
      <c r="AW45" s="289">
        <f>AV45/($F52*$E45)</f>
        <v>6.835269993164729E-2</v>
      </c>
      <c r="AX45" s="70" t="s">
        <v>27</v>
      </c>
      <c r="AY45" s="286">
        <v>0.34</v>
      </c>
      <c r="AZ45" s="287">
        <f>+AY45*$E44*$F49</f>
        <v>10.199999999999999</v>
      </c>
      <c r="BA45" s="70" t="s">
        <v>28</v>
      </c>
      <c r="BB45" s="288">
        <v>10</v>
      </c>
      <c r="BC45" s="289">
        <f>BB45/($F52*$E45)</f>
        <v>0.34176349965823649</v>
      </c>
      <c r="BD45" s="70" t="s">
        <v>27</v>
      </c>
      <c r="BE45" s="286">
        <v>0.02</v>
      </c>
      <c r="BF45" s="287">
        <f>+BE45*$E44*$F49</f>
        <v>0.6</v>
      </c>
      <c r="BG45" s="70" t="s">
        <v>28</v>
      </c>
      <c r="BH45" s="288">
        <v>0.5</v>
      </c>
      <c r="BI45" s="290">
        <f>BH45/($F52*$E45)</f>
        <v>1.7088174982911822E-2</v>
      </c>
    </row>
    <row r="46" spans="1:61" ht="17.25" customHeight="1">
      <c r="A46" s="291" t="s">
        <v>94</v>
      </c>
      <c r="B46" s="532" t="s">
        <v>30</v>
      </c>
      <c r="C46" s="454"/>
      <c r="D46" s="455"/>
      <c r="E46" s="533">
        <f>(I44+O44+U44+AA44+AG44+AM44+AS44+AY44+BE44+BE49+AY49+AS49+I49)/2</f>
        <v>0.53500000000000014</v>
      </c>
      <c r="F46" s="457"/>
      <c r="G46" s="534">
        <f>(E46+E47)</f>
        <v>1.0100000000000002</v>
      </c>
      <c r="H46" s="298" t="s">
        <v>31</v>
      </c>
      <c r="I46" s="299">
        <f>+J46/$G44</f>
        <v>2.5999999999999999E-2</v>
      </c>
      <c r="J46" s="74">
        <f>SUM(J44:J45)</f>
        <v>3.9</v>
      </c>
      <c r="K46" s="75" t="s">
        <v>31</v>
      </c>
      <c r="L46" s="300">
        <f>SUM(L44:L45)</f>
        <v>4</v>
      </c>
      <c r="M46" s="301">
        <f>L46/($F52*$G45)</f>
        <v>4.5568466621098203E-2</v>
      </c>
      <c r="N46" s="292" t="s">
        <v>31</v>
      </c>
      <c r="O46" s="293">
        <f>+P46/$G44</f>
        <v>8.0000000000000002E-3</v>
      </c>
      <c r="P46" s="71">
        <f>SUM(P44:P45)</f>
        <v>1.2</v>
      </c>
      <c r="Q46" s="85" t="s">
        <v>31</v>
      </c>
      <c r="R46" s="316">
        <f>SUM(R44:R45)</f>
        <v>1</v>
      </c>
      <c r="S46" s="295">
        <f>R46/($F52*$G45)</f>
        <v>1.1392116655274551E-2</v>
      </c>
      <c r="T46" s="296" t="s">
        <v>31</v>
      </c>
      <c r="U46" s="297">
        <f>+V46/$G44</f>
        <v>2.5999999999999999E-2</v>
      </c>
      <c r="V46" s="73">
        <f>SUM(V44:V45)</f>
        <v>3.9</v>
      </c>
      <c r="W46" s="72" t="s">
        <v>31</v>
      </c>
      <c r="X46" s="294">
        <f>SUM(X44:X45)</f>
        <v>4</v>
      </c>
      <c r="Y46" s="295">
        <f>X46/($F52*$G45)</f>
        <v>4.5568466621098203E-2</v>
      </c>
      <c r="Z46" s="296" t="s">
        <v>31</v>
      </c>
      <c r="AA46" s="297">
        <f>+AB46/$G44</f>
        <v>1.7999999999999999E-2</v>
      </c>
      <c r="AB46" s="73">
        <f>SUM(AB44:AB45)</f>
        <v>2.6999999999999997</v>
      </c>
      <c r="AC46" s="72" t="s">
        <v>31</v>
      </c>
      <c r="AD46" s="294">
        <f>SUM(AD44:AD45)</f>
        <v>3</v>
      </c>
      <c r="AE46" s="295">
        <f>AD46/($F52*$G45)</f>
        <v>3.4176349965823652E-2</v>
      </c>
      <c r="AF46" s="296" t="s">
        <v>31</v>
      </c>
      <c r="AG46" s="297">
        <f>+AH46/$G44</f>
        <v>0.06</v>
      </c>
      <c r="AH46" s="73">
        <f>SUM(AH44:AH45)</f>
        <v>9</v>
      </c>
      <c r="AI46" s="72" t="s">
        <v>31</v>
      </c>
      <c r="AJ46" s="294">
        <f>SUM(AJ44:AJ45)</f>
        <v>9</v>
      </c>
      <c r="AK46" s="295">
        <f>AJ46/($F52*$G45)</f>
        <v>0.10252904989747094</v>
      </c>
      <c r="AL46" s="296" t="s">
        <v>31</v>
      </c>
      <c r="AM46" s="297">
        <f>+AN46/$G44</f>
        <v>2.5999999999999999E-2</v>
      </c>
      <c r="AN46" s="73">
        <f>SUM(AN44:AN45)</f>
        <v>3.9</v>
      </c>
      <c r="AO46" s="72" t="s">
        <v>31</v>
      </c>
      <c r="AP46" s="294">
        <f>SUM(AP44:AP45)</f>
        <v>4</v>
      </c>
      <c r="AQ46" s="295">
        <f>AP46/($F52*$G45)</f>
        <v>4.5568466621098203E-2</v>
      </c>
      <c r="AR46" s="298" t="s">
        <v>31</v>
      </c>
      <c r="AS46" s="299">
        <f>+AT46/$G44</f>
        <v>0.05</v>
      </c>
      <c r="AT46" s="74">
        <f>SUM(AT44:AT45)</f>
        <v>7.5</v>
      </c>
      <c r="AU46" s="75" t="s">
        <v>31</v>
      </c>
      <c r="AV46" s="300">
        <f>SUM(AV44:AV45)</f>
        <v>6</v>
      </c>
      <c r="AW46" s="301">
        <f>AV46/($F52*$G45)</f>
        <v>6.8352699931647304E-2</v>
      </c>
      <c r="AX46" s="298" t="s">
        <v>31</v>
      </c>
      <c r="AY46" s="299">
        <f>+AZ46/$G44</f>
        <v>0.24</v>
      </c>
      <c r="AZ46" s="74">
        <f>SUM(AZ44:AZ45)</f>
        <v>36</v>
      </c>
      <c r="BA46" s="75" t="s">
        <v>31</v>
      </c>
      <c r="BB46" s="300">
        <f>SUM(BB44:BB45)</f>
        <v>35</v>
      </c>
      <c r="BC46" s="301">
        <f>BB46/($F52*$G45)</f>
        <v>0.39872408293460926</v>
      </c>
      <c r="BD46" s="298" t="s">
        <v>31</v>
      </c>
      <c r="BE46" s="299">
        <f>+BF46/$G44</f>
        <v>1.1999999999999999E-2</v>
      </c>
      <c r="BF46" s="74">
        <f>SUM(BF44:BF45)</f>
        <v>1.7999999999999998</v>
      </c>
      <c r="BG46" s="75" t="s">
        <v>31</v>
      </c>
      <c r="BH46" s="300">
        <f>SUM(BH44:BH45)</f>
        <v>1.5</v>
      </c>
      <c r="BI46" s="76">
        <f>BH46/($F52*$G45)</f>
        <v>1.7088174982911826E-2</v>
      </c>
    </row>
    <row r="47" spans="1:61" ht="17.25" customHeight="1" thickBot="1">
      <c r="A47" s="86" t="s">
        <v>33</v>
      </c>
      <c r="B47" s="535" t="s">
        <v>34</v>
      </c>
      <c r="C47" s="461"/>
      <c r="D47" s="462"/>
      <c r="E47" s="536">
        <f>(I45+O45+U45+AA45+AG45+AM45+AS45+AY45+BE45+AS50+AY50+BE50+I50)/2</f>
        <v>0.47500000000000009</v>
      </c>
      <c r="F47" s="464"/>
      <c r="G47" s="459"/>
      <c r="H47" s="537">
        <f>VLOOKUP(H43,Plancha2!A:M,2,FALSE())</f>
        <v>0</v>
      </c>
      <c r="I47" s="474"/>
      <c r="J47" s="474"/>
      <c r="K47" s="306"/>
      <c r="L47" s="529">
        <f>J46</f>
        <v>3.9</v>
      </c>
      <c r="M47" s="475"/>
      <c r="N47" s="304" t="str">
        <f>VLOOKUP(N43,Friteuse!A:M,2,FALSE())</f>
        <v>Falafel</v>
      </c>
      <c r="O47" s="305"/>
      <c r="P47" s="305"/>
      <c r="Q47" s="77"/>
      <c r="R47" s="529">
        <f>VLOOKUP(N43,Friteuse!A:M,3,FALSE())*P46</f>
        <v>1.2</v>
      </c>
      <c r="S47" s="475"/>
      <c r="T47" s="302" t="str">
        <f>VLOOKUP(T43,Wok!A:M,2,FALSE())</f>
        <v>Aiguillettes</v>
      </c>
      <c r="U47" s="303"/>
      <c r="V47" s="303"/>
      <c r="W47" s="77"/>
      <c r="X47" s="529">
        <f>VLOOKUP(T43,Wok!A:M,3,FALSE())*V46</f>
        <v>2.5350000000000001</v>
      </c>
      <c r="Y47" s="475"/>
      <c r="Z47" s="302" t="str">
        <f>VLOOKUP(Z43,Poele!A:M,2,FALSE())</f>
        <v>Lieu</v>
      </c>
      <c r="AA47" s="303"/>
      <c r="AB47" s="303"/>
      <c r="AC47" s="77"/>
      <c r="AD47" s="529">
        <f>VLOOKUP(Z43,Poele!A:M,3,FALSE())*AB46</f>
        <v>1.8089999999999999</v>
      </c>
      <c r="AE47" s="475"/>
      <c r="AF47" s="302" t="str">
        <f>VLOOKUP(AF43,Four!A:M,2,FALSE())</f>
        <v>Saucisse fumée</v>
      </c>
      <c r="AG47" s="303"/>
      <c r="AH47" s="303"/>
      <c r="AI47" s="77"/>
      <c r="AJ47" s="529">
        <f>VLOOKUP(AF43,Four!A:M,3,FALSE())*AH46</f>
        <v>3.6</v>
      </c>
      <c r="AK47" s="475"/>
      <c r="AL47" s="302" t="str">
        <f>VLOOKUP(AL43,Four!A:M,2,FALSE())</f>
        <v>Porc longe</v>
      </c>
      <c r="AM47" s="303"/>
      <c r="AN47" s="303"/>
      <c r="AO47" s="77"/>
      <c r="AP47" s="529">
        <f>VLOOKUP(AL43,Four!A:M,3,FALSE())*AN46</f>
        <v>2.9249999999999998</v>
      </c>
      <c r="AQ47" s="475"/>
      <c r="AR47" s="538" t="s">
        <v>42</v>
      </c>
      <c r="AS47" s="461"/>
      <c r="AT47" s="461"/>
      <c r="AU47" s="306"/>
      <c r="AV47" s="529">
        <f>AT46</f>
        <v>7.5</v>
      </c>
      <c r="AW47" s="475"/>
      <c r="AX47" s="528" t="s">
        <v>156</v>
      </c>
      <c r="AY47" s="471"/>
      <c r="AZ47" s="471"/>
      <c r="BA47" s="78"/>
      <c r="BB47" s="529">
        <f>AZ46</f>
        <v>36</v>
      </c>
      <c r="BC47" s="475"/>
      <c r="BD47" s="528" t="s">
        <v>157</v>
      </c>
      <c r="BE47" s="471"/>
      <c r="BF47" s="471"/>
      <c r="BG47" s="78"/>
      <c r="BH47" s="529">
        <f>BF46</f>
        <v>1.7999999999999998</v>
      </c>
      <c r="BI47" s="503"/>
    </row>
    <row r="48" spans="1:61" ht="17.25" customHeight="1" thickBot="1">
      <c r="A48" s="86" t="s">
        <v>45</v>
      </c>
      <c r="B48" s="539" t="s">
        <v>46</v>
      </c>
      <c r="C48" s="445"/>
      <c r="D48" s="517"/>
      <c r="E48" s="540">
        <f>(L46+R46+X46+AD46+AJ46+AP46+AV46+BB46+BH46+BH51+(BB51*BB48/1000)+L51+AV51)/(G45*F52)</f>
        <v>1</v>
      </c>
      <c r="F48" s="474"/>
      <c r="G48" s="475"/>
      <c r="H48" s="551" t="s">
        <v>160</v>
      </c>
      <c r="I48" s="552" t="s">
        <v>223</v>
      </c>
      <c r="J48" s="552" t="s">
        <v>223</v>
      </c>
      <c r="K48" s="552" t="s">
        <v>223</v>
      </c>
      <c r="L48" s="552" t="s">
        <v>223</v>
      </c>
      <c r="M48" s="553" t="s">
        <v>223</v>
      </c>
      <c r="N48" s="304">
        <f>VLOOKUP(N43,Friteuse!A:M,4,FALSE())</f>
        <v>0</v>
      </c>
      <c r="O48" s="79"/>
      <c r="P48" s="79"/>
      <c r="Q48" s="79"/>
      <c r="R48" s="530">
        <f>VLOOKUP(N43,Friteuse!A:M,5,FALSE())*P46</f>
        <v>0</v>
      </c>
      <c r="S48" s="475"/>
      <c r="T48" s="302" t="str">
        <f>VLOOKUP(T43,Wok!A:M,4,FALSE())</f>
        <v>Munster</v>
      </c>
      <c r="U48" s="77"/>
      <c r="V48" s="77"/>
      <c r="W48" s="77"/>
      <c r="X48" s="530">
        <f>VLOOKUP(T43,Wok!A:M,5,FALSE())*V46</f>
        <v>0.78</v>
      </c>
      <c r="Y48" s="475"/>
      <c r="Z48" s="302" t="str">
        <f>VLOOKUP(Z43,Poele!A:M,4,FALSE())</f>
        <v>Fumet poisson</v>
      </c>
      <c r="AA48" s="77"/>
      <c r="AB48" s="77"/>
      <c r="AC48" s="77"/>
      <c r="AD48" s="530">
        <f>VLOOKUP(Z43,Poele!A:M,5,FALSE())*AB46</f>
        <v>0</v>
      </c>
      <c r="AE48" s="475"/>
      <c r="AF48" s="302" t="str">
        <f>VLOOKUP(AF43,Four!A:M,4,FALSE())</f>
        <v>Poivron R/V</v>
      </c>
      <c r="AG48" s="77"/>
      <c r="AH48" s="77"/>
      <c r="AI48" s="77"/>
      <c r="AJ48" s="530">
        <f>VLOOKUP(AF43,Four!A:M,5,FALSE())*AH46</f>
        <v>1.8</v>
      </c>
      <c r="AK48" s="475"/>
      <c r="AL48" s="302" t="str">
        <f>VLOOKUP(AL43,Four!A:M,4,FALSE())</f>
        <v>Vin blc</v>
      </c>
      <c r="AM48" s="77"/>
      <c r="AN48" s="77"/>
      <c r="AO48" s="77"/>
      <c r="AP48" s="530">
        <f>VLOOKUP(AL43,Four!A:M,5,FALSE())*AN46</f>
        <v>0.46799999999999997</v>
      </c>
      <c r="AQ48" s="475"/>
      <c r="AR48" s="481" t="s">
        <v>54</v>
      </c>
      <c r="AS48" s="431"/>
      <c r="AT48" s="431"/>
      <c r="AU48" s="431"/>
      <c r="AV48" s="431"/>
      <c r="AW48" s="432"/>
      <c r="AX48" s="481" t="s">
        <v>55</v>
      </c>
      <c r="AY48" s="431"/>
      <c r="AZ48" s="431"/>
      <c r="BA48" s="431"/>
      <c r="BB48" s="531">
        <v>60</v>
      </c>
      <c r="BC48" s="432"/>
      <c r="BD48" s="483" t="s">
        <v>285</v>
      </c>
      <c r="BE48" s="431"/>
      <c r="BF48" s="431"/>
      <c r="BG48" s="431"/>
      <c r="BH48" s="431"/>
      <c r="BI48" s="484"/>
    </row>
    <row r="49" spans="1:61" ht="17.25" customHeight="1" thickBot="1">
      <c r="A49" s="86" t="s">
        <v>81</v>
      </c>
      <c r="B49" s="513" t="s">
        <v>158</v>
      </c>
      <c r="C49" s="445"/>
      <c r="D49" s="445"/>
      <c r="E49" s="445"/>
      <c r="F49" s="541">
        <v>0.6</v>
      </c>
      <c r="G49" s="446"/>
      <c r="H49" s="276" t="s">
        <v>23</v>
      </c>
      <c r="I49" s="62">
        <v>7.0000000000000007E-2</v>
      </c>
      <c r="J49" s="63">
        <f>+I49*$C44*$F$9</f>
        <v>4.2</v>
      </c>
      <c r="K49" s="276" t="s">
        <v>24</v>
      </c>
      <c r="L49" s="64">
        <v>4</v>
      </c>
      <c r="M49" s="277">
        <f>L49/($F52*$C45)</f>
        <v>6.835269993164729E-2</v>
      </c>
      <c r="N49" s="304">
        <f>VLOOKUP(N43,Friteuse!A:M,6,FALSE())</f>
        <v>0</v>
      </c>
      <c r="O49" s="79"/>
      <c r="P49" s="79"/>
      <c r="Q49" s="79"/>
      <c r="R49" s="530">
        <f>VLOOKUP(N43,Friteuse!A:M,7,FALSE())*P46</f>
        <v>0</v>
      </c>
      <c r="S49" s="475"/>
      <c r="T49" s="302" t="str">
        <f>VLOOKUP(T43,Wok!A:M,6,FALSE())</f>
        <v>Crème</v>
      </c>
      <c r="U49" s="77"/>
      <c r="V49" s="77"/>
      <c r="W49" s="77"/>
      <c r="X49" s="530">
        <f>VLOOKUP(T43,Wok!A:M,7,FALSE())*V46</f>
        <v>0.39</v>
      </c>
      <c r="Y49" s="475"/>
      <c r="Z49" s="302" t="str">
        <f>VLOOKUP(Z43,Poele!A:M,6,FALSE())</f>
        <v>Courgettes</v>
      </c>
      <c r="AA49" s="77"/>
      <c r="AB49" s="77"/>
      <c r="AC49" s="77"/>
      <c r="AD49" s="530">
        <f>VLOOKUP(Z43,Poele!A:M,7,FALSE())*AB46</f>
        <v>0.8909999999999999</v>
      </c>
      <c r="AE49" s="475"/>
      <c r="AF49" s="302" t="str">
        <f>VLOOKUP(AF43,Four!A:M,6,FALSE())</f>
        <v>Concassé</v>
      </c>
      <c r="AG49" s="77"/>
      <c r="AH49" s="77"/>
      <c r="AI49" s="77"/>
      <c r="AJ49" s="530">
        <f>VLOOKUP(AF43,Four!A:M,7,FALSE())*AH46</f>
        <v>2.6999999999999997</v>
      </c>
      <c r="AK49" s="475"/>
      <c r="AL49" s="302" t="str">
        <f>VLOOKUP(AL43,Four!A:M,6,FALSE())</f>
        <v>Carotte</v>
      </c>
      <c r="AM49" s="77"/>
      <c r="AN49" s="77"/>
      <c r="AO49" s="77"/>
      <c r="AP49" s="530">
        <f>VLOOKUP(AL43,Four!A:M,7,FALSE())*AN46</f>
        <v>0.19500000000000001</v>
      </c>
      <c r="AQ49" s="475"/>
      <c r="AR49" s="276" t="s">
        <v>23</v>
      </c>
      <c r="AS49" s="62">
        <v>0.08</v>
      </c>
      <c r="AT49" s="63">
        <f>+AS49*$C44*$F$9</f>
        <v>4.8</v>
      </c>
      <c r="AU49" s="276" t="s">
        <v>24</v>
      </c>
      <c r="AV49" s="64">
        <v>4</v>
      </c>
      <c r="AW49" s="277">
        <f>AV49/($F52*$C45)</f>
        <v>6.835269993164729E-2</v>
      </c>
      <c r="AX49" s="307" t="s">
        <v>23</v>
      </c>
      <c r="AY49" s="62">
        <v>0.03</v>
      </c>
      <c r="AZ49" s="95">
        <f>AY49*C44*F49/(BB48/1000)</f>
        <v>29.999999999999996</v>
      </c>
      <c r="BA49" s="276" t="s">
        <v>24</v>
      </c>
      <c r="BB49" s="96">
        <v>25</v>
      </c>
      <c r="BC49" s="313">
        <f>(BB49*BB48/1000)/($F52*$C45)</f>
        <v>2.5632262474367735E-2</v>
      </c>
      <c r="BD49" s="276" t="s">
        <v>23</v>
      </c>
      <c r="BE49" s="62">
        <v>7.0000000000000007E-2</v>
      </c>
      <c r="BF49" s="63">
        <f>+BE49*$C44*$F$9</f>
        <v>4.2</v>
      </c>
      <c r="BG49" s="276" t="s">
        <v>24</v>
      </c>
      <c r="BH49" s="64">
        <v>4</v>
      </c>
      <c r="BI49" s="65">
        <f>BH49/($F52*$C45)</f>
        <v>6.835269993164729E-2</v>
      </c>
    </row>
    <row r="50" spans="1:61" ht="17.25" customHeight="1" thickBot="1">
      <c r="A50" s="86" t="s">
        <v>94</v>
      </c>
      <c r="B50" s="544" t="s">
        <v>178</v>
      </c>
      <c r="C50" s="445"/>
      <c r="D50" s="445"/>
      <c r="E50" s="446"/>
      <c r="F50" s="319">
        <f>(L44+R44+L49+X44+AD44+AJ44+AP44+AV44+AV49+BB44+BB49*(BB48/1000)+BH44+BH49)/C45</f>
        <v>0.61</v>
      </c>
      <c r="G50" s="320">
        <f>F50/(F50+F51)</f>
        <v>0.5324720670391061</v>
      </c>
      <c r="H50" s="70" t="s">
        <v>27</v>
      </c>
      <c r="I50" s="286">
        <v>7.0000000000000007E-2</v>
      </c>
      <c r="J50" s="287">
        <f>+I50*$E44*$F49</f>
        <v>2.1</v>
      </c>
      <c r="K50" s="70" t="s">
        <v>28</v>
      </c>
      <c r="L50" s="288">
        <v>2</v>
      </c>
      <c r="M50" s="289">
        <f>L50/($F52*$E45)</f>
        <v>6.835269993164729E-2</v>
      </c>
      <c r="N50" s="304">
        <f>VLOOKUP(N43,Friteuse!A:M,8,FALSE())</f>
        <v>0</v>
      </c>
      <c r="O50" s="79"/>
      <c r="P50" s="79"/>
      <c r="Q50" s="79"/>
      <c r="R50" s="530">
        <f>VLOOKUP(N43,Friteuse!A:M,9,FALSE())*P46</f>
        <v>0</v>
      </c>
      <c r="S50" s="475"/>
      <c r="T50" s="302" t="str">
        <f>VLOOKUP(T43,Wok!A:M,8,FALSE())</f>
        <v>Vin blanc</v>
      </c>
      <c r="U50" s="77"/>
      <c r="V50" s="77"/>
      <c r="W50" s="77"/>
      <c r="X50" s="530">
        <f>VLOOKUP(T43,Wok!A:M,9,FALSE())*V46</f>
        <v>0.19500000000000001</v>
      </c>
      <c r="Y50" s="475"/>
      <c r="Z50" s="302" t="str">
        <f>VLOOKUP(Z43,Poele!A:M,8,FALSE())</f>
        <v>Curcuma</v>
      </c>
      <c r="AA50" s="77"/>
      <c r="AB50" s="77"/>
      <c r="AC50" s="77"/>
      <c r="AD50" s="530">
        <f>VLOOKUP(Z43,Poele!A:M,9,FALSE())*AB46</f>
        <v>0</v>
      </c>
      <c r="AE50" s="475"/>
      <c r="AF50" s="302" t="str">
        <f>VLOOKUP(AF43,Four!A:M,8,FALSE())</f>
        <v>Oignon</v>
      </c>
      <c r="AG50" s="77"/>
      <c r="AH50" s="77"/>
      <c r="AI50" s="77"/>
      <c r="AJ50" s="530">
        <f>VLOOKUP(AF43,Four!A:M,9,FALSE())*AH46</f>
        <v>0.9</v>
      </c>
      <c r="AK50" s="475"/>
      <c r="AL50" s="302" t="str">
        <f>VLOOKUP(AL43,Four!A:M,8,FALSE())</f>
        <v>Oignons</v>
      </c>
      <c r="AM50" s="77"/>
      <c r="AN50" s="77"/>
      <c r="AO50" s="77"/>
      <c r="AP50" s="530">
        <f>VLOOKUP(AL43,Four!A:M,9,FALSE())*AN46</f>
        <v>0.19500000000000001</v>
      </c>
      <c r="AQ50" s="475"/>
      <c r="AR50" s="70" t="s">
        <v>27</v>
      </c>
      <c r="AS50" s="286">
        <v>0.09</v>
      </c>
      <c r="AT50" s="287">
        <f>+AS50*$E44*$F49</f>
        <v>2.6999999999999997</v>
      </c>
      <c r="AU50" s="70" t="s">
        <v>28</v>
      </c>
      <c r="AV50" s="288">
        <v>2</v>
      </c>
      <c r="AW50" s="289">
        <f>AV50/($F52*$E45)</f>
        <v>6.835269993164729E-2</v>
      </c>
      <c r="AX50" s="80" t="s">
        <v>27</v>
      </c>
      <c r="AY50" s="286">
        <v>0.03</v>
      </c>
      <c r="AZ50" s="321">
        <f>AY50*E44*F49/(BB48/1000)</f>
        <v>14.999999999999998</v>
      </c>
      <c r="BA50" s="70" t="s">
        <v>28</v>
      </c>
      <c r="BB50" s="322">
        <v>13</v>
      </c>
      <c r="BC50" s="315">
        <f>(BB50*BB48/1000)/($F52*$E45)</f>
        <v>2.6657552973342446E-2</v>
      </c>
      <c r="BD50" s="70" t="s">
        <v>27</v>
      </c>
      <c r="BE50" s="286">
        <v>7.0000000000000007E-2</v>
      </c>
      <c r="BF50" s="287">
        <f>+BE50*$E44*$F49</f>
        <v>2.1</v>
      </c>
      <c r="BG50" s="70" t="s">
        <v>28</v>
      </c>
      <c r="BH50" s="288">
        <v>2</v>
      </c>
      <c r="BI50" s="290">
        <f>BH50/($F52*$E45)</f>
        <v>6.835269993164729E-2</v>
      </c>
    </row>
    <row r="51" spans="1:61" ht="17.25" customHeight="1" thickBot="1">
      <c r="A51" s="86" t="s">
        <v>45</v>
      </c>
      <c r="B51" s="447"/>
      <c r="C51" s="434"/>
      <c r="D51" s="434"/>
      <c r="E51" s="435"/>
      <c r="F51" s="323">
        <f>(L45+L50+R45+X45+AD45+AJ45+AP45+AV45+AV50+BB45+BB50*(BB48/1000)+BH50+BH45)/E45</f>
        <v>0.53560000000000008</v>
      </c>
      <c r="G51" s="324">
        <f>F51/(F50+F51)</f>
        <v>0.46752793296089395</v>
      </c>
      <c r="H51" s="298" t="s">
        <v>31</v>
      </c>
      <c r="I51" s="299">
        <f>+J51/$G44</f>
        <v>4.2000000000000003E-2</v>
      </c>
      <c r="J51" s="74">
        <f>SUM(J49:J50)</f>
        <v>6.3000000000000007</v>
      </c>
      <c r="K51" s="75" t="s">
        <v>31</v>
      </c>
      <c r="L51" s="300">
        <f>SUM(L49:L50)</f>
        <v>6</v>
      </c>
      <c r="M51" s="301">
        <f>L51/($F52*$G45)</f>
        <v>6.8352699931647304E-2</v>
      </c>
      <c r="N51" s="304">
        <f>VLOOKUP(N43,Friteuse!A:M,10,FALSE())</f>
        <v>0</v>
      </c>
      <c r="O51" s="78"/>
      <c r="P51" s="78"/>
      <c r="Q51" s="78"/>
      <c r="R51" s="530">
        <f>VLOOKUP(N43,Friteuse!A:M,11,FALSE())*P46</f>
        <v>0</v>
      </c>
      <c r="S51" s="475"/>
      <c r="T51" s="302">
        <f>VLOOKUP(T43,Wok!A:M,10,FALSE())</f>
        <v>0</v>
      </c>
      <c r="U51" s="81"/>
      <c r="V51" s="81"/>
      <c r="W51" s="81"/>
      <c r="X51" s="530">
        <f>VLOOKUP(T43,Wok!A:M,11,FALSE())*V46</f>
        <v>0</v>
      </c>
      <c r="Y51" s="475"/>
      <c r="Z51" s="302">
        <f>VLOOKUP(Z43,Poele!A:M,10,FALSE())</f>
        <v>0</v>
      </c>
      <c r="AA51" s="81"/>
      <c r="AB51" s="81"/>
      <c r="AC51" s="81"/>
      <c r="AD51" s="530">
        <f>VLOOKUP(Z43,Poele!A:M,11,FALSE())*AB46</f>
        <v>0</v>
      </c>
      <c r="AE51" s="475"/>
      <c r="AF51" s="302" t="str">
        <f>VLOOKUP(AF43,Four!A:M,10,FALSE())</f>
        <v>Ail / Paprika / Gingembre</v>
      </c>
      <c r="AG51" s="81"/>
      <c r="AH51" s="81"/>
      <c r="AI51" s="81"/>
      <c r="AJ51" s="530">
        <f>VLOOKUP(AF43,Four!A:M,11,FALSE())*AH46</f>
        <v>0</v>
      </c>
      <c r="AK51" s="475"/>
      <c r="AL51" s="302" t="str">
        <f>VLOOKUP(AL43,Four!A:M,10,FALSE())</f>
        <v>Celeri branche</v>
      </c>
      <c r="AM51" s="81"/>
      <c r="AN51" s="81"/>
      <c r="AO51" s="81"/>
      <c r="AP51" s="530">
        <f>VLOOKUP(AL43,Four!A:M,11,FALSE())*AN46</f>
        <v>0.19500000000000001</v>
      </c>
      <c r="AQ51" s="475"/>
      <c r="AR51" s="298" t="s">
        <v>31</v>
      </c>
      <c r="AS51" s="299">
        <f>+AT51/$G44</f>
        <v>0.05</v>
      </c>
      <c r="AT51" s="74">
        <f>SUM(AT49:AT50)</f>
        <v>7.5</v>
      </c>
      <c r="AU51" s="75" t="s">
        <v>31</v>
      </c>
      <c r="AV51" s="300">
        <f>SUM(AV49:AV50)</f>
        <v>6</v>
      </c>
      <c r="AW51" s="301">
        <f>AV51/($F52*$G45)</f>
        <v>6.8352699931647304E-2</v>
      </c>
      <c r="AX51" s="308" t="s">
        <v>31</v>
      </c>
      <c r="AY51" s="299"/>
      <c r="AZ51" s="97">
        <f>SUM(AZ49:AZ50)</f>
        <v>44.999999999999993</v>
      </c>
      <c r="BA51" s="75" t="s">
        <v>31</v>
      </c>
      <c r="BB51" s="325">
        <f>SUM(BB49:BB50)</f>
        <v>38</v>
      </c>
      <c r="BC51" s="295">
        <f>(BB51*BB48/1000)/($F52*$G45)</f>
        <v>2.5974025974025972E-2</v>
      </c>
      <c r="BD51" s="298" t="s">
        <v>31</v>
      </c>
      <c r="BE51" s="299">
        <f>+BF51/$G44</f>
        <v>4.2000000000000003E-2</v>
      </c>
      <c r="BF51" s="74">
        <f>SUM(BF49:BF50)</f>
        <v>6.3000000000000007</v>
      </c>
      <c r="BG51" s="75" t="s">
        <v>31</v>
      </c>
      <c r="BH51" s="300">
        <f>SUM(BH49:BH50)</f>
        <v>6</v>
      </c>
      <c r="BI51" s="76">
        <f>BH51/($F52*$G45)</f>
        <v>6.8352699931647304E-2</v>
      </c>
    </row>
    <row r="52" spans="1:61" ht="17.25" customHeight="1" thickBot="1">
      <c r="A52" s="86" t="s">
        <v>56</v>
      </c>
      <c r="B52" s="545" t="s">
        <v>159</v>
      </c>
      <c r="C52" s="431"/>
      <c r="D52" s="431"/>
      <c r="E52" s="432"/>
      <c r="F52" s="546">
        <f>(L46+L51+R46+X46+AD46+AJ46+AP46+AV46+AV51+BB51*BB48/1000+BB46+BH46+BH51)/G45</f>
        <v>0.58520000000000005</v>
      </c>
      <c r="G52" s="435"/>
      <c r="H52" s="302" t="str">
        <f>VLOOKUP(H48,Plancha2!A:M,2,FALSE())</f>
        <v>Lamelle encornet</v>
      </c>
      <c r="I52" s="82"/>
      <c r="J52" s="78"/>
      <c r="K52" s="78"/>
      <c r="L52" s="529">
        <f>J51</f>
        <v>6.3000000000000007</v>
      </c>
      <c r="M52" s="475"/>
      <c r="N52" s="304">
        <f>VLOOKUP(N43,Friteuse!A:M,12,FALSE())</f>
        <v>0</v>
      </c>
      <c r="O52" s="306"/>
      <c r="P52" s="306"/>
      <c r="Q52" s="306"/>
      <c r="R52" s="542">
        <f>VLOOKUP(N43,Friteuse!A:M,13,FALSE())*P46</f>
        <v>0</v>
      </c>
      <c r="S52" s="435"/>
      <c r="T52" s="302">
        <f>VLOOKUP(T43,Wok!A:M,12,FALSE())</f>
        <v>0</v>
      </c>
      <c r="U52" s="309"/>
      <c r="V52" s="309"/>
      <c r="W52" s="309"/>
      <c r="X52" s="542">
        <f>VLOOKUP(T43,Wok!A:M,13,FALSE())*V46</f>
        <v>0</v>
      </c>
      <c r="Y52" s="435"/>
      <c r="Z52" s="302">
        <f>VLOOKUP(Z43,Poele!A:M,12,FALSE())</f>
        <v>0</v>
      </c>
      <c r="AA52" s="309"/>
      <c r="AB52" s="309"/>
      <c r="AC52" s="309"/>
      <c r="AD52" s="542">
        <f>VLOOKUP(Z43,Poele!A:M,13,FALSE())*AB46</f>
        <v>0</v>
      </c>
      <c r="AE52" s="435"/>
      <c r="AF52" s="302">
        <f>VLOOKUP(AF43,Four!A:M,12,FALSE())</f>
        <v>0</v>
      </c>
      <c r="AG52" s="309"/>
      <c r="AH52" s="309"/>
      <c r="AI52" s="309"/>
      <c r="AJ52" s="542">
        <f>VLOOKUP(AF43,Four!A:M,13,FALSE())*AH46</f>
        <v>0</v>
      </c>
      <c r="AK52" s="435"/>
      <c r="AL52" s="302">
        <f>VLOOKUP(AL43,Four!A:M,12,FALSE())</f>
        <v>0</v>
      </c>
      <c r="AM52" s="309"/>
      <c r="AN52" s="309"/>
      <c r="AO52" s="309"/>
      <c r="AP52" s="542">
        <f>VLOOKUP(AL43,Four!A:M,13,FALSE())*AN46</f>
        <v>0</v>
      </c>
      <c r="AQ52" s="435"/>
      <c r="AR52" s="310" t="s">
        <v>74</v>
      </c>
      <c r="AS52" s="82"/>
      <c r="AT52" s="78"/>
      <c r="AU52" s="78"/>
      <c r="AV52" s="529">
        <f>AT51</f>
        <v>7.5</v>
      </c>
      <c r="AW52" s="475"/>
      <c r="AX52" s="538" t="s">
        <v>75</v>
      </c>
      <c r="AY52" s="461"/>
      <c r="AZ52" s="461"/>
      <c r="BA52" s="311"/>
      <c r="BB52" s="529">
        <f>AZ51*(BB48/1000)</f>
        <v>2.6999999999999993</v>
      </c>
      <c r="BC52" s="475"/>
      <c r="BD52" s="543" t="s">
        <v>115</v>
      </c>
      <c r="BE52" s="461"/>
      <c r="BF52" s="461"/>
      <c r="BG52" s="311"/>
      <c r="BH52" s="529">
        <f>BF51</f>
        <v>6.3000000000000007</v>
      </c>
      <c r="BI52" s="503"/>
    </row>
    <row r="53" spans="1:61" ht="17.25" customHeight="1" thickBot="1">
      <c r="A53" s="55">
        <f>A43+1</f>
        <v>45367</v>
      </c>
      <c r="B53" s="547" t="s">
        <v>8</v>
      </c>
      <c r="C53" s="432"/>
      <c r="D53" s="547" t="s">
        <v>9</v>
      </c>
      <c r="E53" s="432"/>
      <c r="F53" s="317" t="s">
        <v>10</v>
      </c>
      <c r="G53" s="318"/>
      <c r="H53" s="551" t="s">
        <v>149</v>
      </c>
      <c r="I53" s="552" t="s">
        <v>184</v>
      </c>
      <c r="J53" s="552" t="s">
        <v>184</v>
      </c>
      <c r="K53" s="552" t="s">
        <v>184</v>
      </c>
      <c r="L53" s="552" t="s">
        <v>184</v>
      </c>
      <c r="M53" s="553" t="s">
        <v>184</v>
      </c>
      <c r="N53" s="522" t="s">
        <v>197</v>
      </c>
      <c r="O53" s="431"/>
      <c r="P53" s="431"/>
      <c r="Q53" s="431"/>
      <c r="R53" s="431"/>
      <c r="S53" s="432"/>
      <c r="T53" s="569" t="s">
        <v>266</v>
      </c>
      <c r="U53" s="570" t="s">
        <v>195</v>
      </c>
      <c r="V53" s="570" t="s">
        <v>195</v>
      </c>
      <c r="W53" s="570" t="s">
        <v>195</v>
      </c>
      <c r="X53" s="570" t="s">
        <v>195</v>
      </c>
      <c r="Y53" s="571" t="s">
        <v>195</v>
      </c>
      <c r="Z53" s="523" t="s">
        <v>218</v>
      </c>
      <c r="AA53" s="431" t="s">
        <v>218</v>
      </c>
      <c r="AB53" s="431" t="s">
        <v>218</v>
      </c>
      <c r="AC53" s="431" t="s">
        <v>218</v>
      </c>
      <c r="AD53" s="431" t="s">
        <v>218</v>
      </c>
      <c r="AE53" s="432" t="s">
        <v>218</v>
      </c>
      <c r="AF53" s="519" t="s">
        <v>196</v>
      </c>
      <c r="AG53" s="431" t="s">
        <v>253</v>
      </c>
      <c r="AH53" s="431" t="s">
        <v>253</v>
      </c>
      <c r="AI53" s="431" t="s">
        <v>253</v>
      </c>
      <c r="AJ53" s="431" t="s">
        <v>253</v>
      </c>
      <c r="AK53" s="432" t="s">
        <v>253</v>
      </c>
      <c r="AL53" s="572" t="s">
        <v>723</v>
      </c>
      <c r="AM53" s="558" t="s">
        <v>300</v>
      </c>
      <c r="AN53" s="558" t="s">
        <v>300</v>
      </c>
      <c r="AO53" s="558" t="s">
        <v>300</v>
      </c>
      <c r="AP53" s="558" t="s">
        <v>300</v>
      </c>
      <c r="AQ53" s="559" t="s">
        <v>300</v>
      </c>
      <c r="AR53" s="481" t="s">
        <v>18</v>
      </c>
      <c r="AS53" s="431"/>
      <c r="AT53" s="431"/>
      <c r="AU53" s="431"/>
      <c r="AV53" s="431"/>
      <c r="AW53" s="432"/>
      <c r="AX53" s="482" t="s">
        <v>154</v>
      </c>
      <c r="AY53" s="434"/>
      <c r="AZ53" s="434"/>
      <c r="BA53" s="434"/>
      <c r="BB53" s="434"/>
      <c r="BC53" s="435"/>
      <c r="BD53" s="483" t="s">
        <v>155</v>
      </c>
      <c r="BE53" s="431"/>
      <c r="BF53" s="431"/>
      <c r="BG53" s="431"/>
      <c r="BH53" s="431"/>
      <c r="BI53" s="484"/>
    </row>
    <row r="54" spans="1:61" ht="17.25" customHeight="1">
      <c r="A54" s="326"/>
      <c r="B54" s="270" t="s">
        <v>22</v>
      </c>
      <c r="C54" s="271">
        <v>100</v>
      </c>
      <c r="D54" s="270" t="s">
        <v>22</v>
      </c>
      <c r="E54" s="272">
        <v>50</v>
      </c>
      <c r="F54" s="270" t="s">
        <v>22</v>
      </c>
      <c r="G54" s="56">
        <f t="shared" ref="G54:G55" si="5">+C54+E54</f>
        <v>150</v>
      </c>
      <c r="H54" s="276" t="s">
        <v>23</v>
      </c>
      <c r="I54" s="62">
        <v>0.05</v>
      </c>
      <c r="J54" s="63">
        <f>+I54*$C54*$F59</f>
        <v>3</v>
      </c>
      <c r="K54" s="276" t="s">
        <v>24</v>
      </c>
      <c r="L54" s="64">
        <v>3</v>
      </c>
      <c r="M54" s="277">
        <f>L54/($F62*$C55)</f>
        <v>5.1264524948735471E-2</v>
      </c>
      <c r="N54" s="273" t="s">
        <v>23</v>
      </c>
      <c r="O54" s="57">
        <v>0.01</v>
      </c>
      <c r="P54" s="58">
        <f>+O54*$C54*$F59</f>
        <v>0.6</v>
      </c>
      <c r="Q54" s="273" t="s">
        <v>24</v>
      </c>
      <c r="R54" s="84">
        <v>0.5</v>
      </c>
      <c r="S54" s="313">
        <f>R54/($F62*$C55)</f>
        <v>8.5440874914559112E-3</v>
      </c>
      <c r="T54" s="274" t="s">
        <v>23</v>
      </c>
      <c r="U54" s="60">
        <v>0.05</v>
      </c>
      <c r="V54" s="61">
        <f>+U54*$C54*$F59</f>
        <v>3</v>
      </c>
      <c r="W54" s="274" t="s">
        <v>24</v>
      </c>
      <c r="X54" s="59">
        <v>3</v>
      </c>
      <c r="Y54" s="275">
        <f>X54/($F62*$C55)</f>
        <v>5.1264524948735471E-2</v>
      </c>
      <c r="Z54" s="274" t="s">
        <v>23</v>
      </c>
      <c r="AA54" s="60">
        <v>0.03</v>
      </c>
      <c r="AB54" s="61">
        <f>+AA54*$C54*$F59</f>
        <v>1.7999999999999998</v>
      </c>
      <c r="AC54" s="274" t="s">
        <v>24</v>
      </c>
      <c r="AD54" s="59">
        <v>2</v>
      </c>
      <c r="AE54" s="275">
        <f>AD54/($F62*$C55)</f>
        <v>3.4176349965823645E-2</v>
      </c>
      <c r="AF54" s="274" t="s">
        <v>23</v>
      </c>
      <c r="AG54" s="60">
        <v>0.1</v>
      </c>
      <c r="AH54" s="61">
        <f>+AG54*$C54*$F59</f>
        <v>6</v>
      </c>
      <c r="AI54" s="274" t="s">
        <v>24</v>
      </c>
      <c r="AJ54" s="59">
        <v>6</v>
      </c>
      <c r="AK54" s="275">
        <f>AJ54/($F62*$C55)</f>
        <v>0.10252904989747094</v>
      </c>
      <c r="AL54" s="274" t="s">
        <v>23</v>
      </c>
      <c r="AM54" s="60">
        <v>0.05</v>
      </c>
      <c r="AN54" s="61">
        <f>+AM54*$C54*$F59</f>
        <v>3</v>
      </c>
      <c r="AO54" s="274" t="s">
        <v>24</v>
      </c>
      <c r="AP54" s="59">
        <v>3</v>
      </c>
      <c r="AQ54" s="275">
        <f>AP54/($F62*$C55)</f>
        <v>5.1264524948735471E-2</v>
      </c>
      <c r="AR54" s="276" t="s">
        <v>23</v>
      </c>
      <c r="AS54" s="62">
        <v>0.08</v>
      </c>
      <c r="AT54" s="63">
        <f>+AS54*$C54*$F59</f>
        <v>4.8</v>
      </c>
      <c r="AU54" s="276" t="s">
        <v>24</v>
      </c>
      <c r="AV54" s="64">
        <v>4</v>
      </c>
      <c r="AW54" s="277">
        <f>AV54/($F62*$C55)</f>
        <v>6.835269993164729E-2</v>
      </c>
      <c r="AX54" s="276" t="s">
        <v>23</v>
      </c>
      <c r="AY54" s="62">
        <v>0.43</v>
      </c>
      <c r="AZ54" s="63">
        <f>+AY54*$C54*$F59</f>
        <v>25.8</v>
      </c>
      <c r="BA54" s="276" t="s">
        <v>24</v>
      </c>
      <c r="BB54" s="64">
        <v>25</v>
      </c>
      <c r="BC54" s="277">
        <f>BB54/($F62*$C55)</f>
        <v>0.42720437457279559</v>
      </c>
      <c r="BD54" s="276" t="s">
        <v>23</v>
      </c>
      <c r="BE54" s="62">
        <v>0.02</v>
      </c>
      <c r="BF54" s="63">
        <f>+BE54*$C54*$F59</f>
        <v>1.2</v>
      </c>
      <c r="BG54" s="276" t="s">
        <v>24</v>
      </c>
      <c r="BH54" s="64">
        <v>1</v>
      </c>
      <c r="BI54" s="65">
        <f>BH54/($F62*$C55)</f>
        <v>1.7088174982911822E-2</v>
      </c>
    </row>
    <row r="55" spans="1:61" ht="17.25" customHeight="1" thickBot="1">
      <c r="A55" s="327" t="s">
        <v>133</v>
      </c>
      <c r="B55" s="266" t="s">
        <v>26</v>
      </c>
      <c r="C55" s="66">
        <v>100</v>
      </c>
      <c r="D55" s="266" t="s">
        <v>26</v>
      </c>
      <c r="E55" s="67">
        <v>50</v>
      </c>
      <c r="F55" s="266" t="s">
        <v>26</v>
      </c>
      <c r="G55" s="279">
        <f t="shared" si="5"/>
        <v>150</v>
      </c>
      <c r="H55" s="70" t="s">
        <v>27</v>
      </c>
      <c r="I55" s="286">
        <v>0.03</v>
      </c>
      <c r="J55" s="287">
        <f>+I55*$E54*$F59</f>
        <v>0.89999999999999991</v>
      </c>
      <c r="K55" s="70" t="s">
        <v>28</v>
      </c>
      <c r="L55" s="288">
        <v>1</v>
      </c>
      <c r="M55" s="289">
        <f>L55/($F62*$E55)</f>
        <v>3.4176349965823645E-2</v>
      </c>
      <c r="N55" s="68" t="s">
        <v>27</v>
      </c>
      <c r="O55" s="280">
        <v>0.02</v>
      </c>
      <c r="P55" s="281">
        <f>+O55*$E54*$F59</f>
        <v>0.6</v>
      </c>
      <c r="Q55" s="68" t="s">
        <v>28</v>
      </c>
      <c r="R55" s="314">
        <v>0.5</v>
      </c>
      <c r="S55" s="315">
        <f>R55/($F62*$E55)</f>
        <v>1.7088174982911822E-2</v>
      </c>
      <c r="T55" s="69" t="s">
        <v>27</v>
      </c>
      <c r="U55" s="284">
        <v>0.03</v>
      </c>
      <c r="V55" s="285">
        <f>+U55*$E54*$F59</f>
        <v>0.89999999999999991</v>
      </c>
      <c r="W55" s="69" t="s">
        <v>28</v>
      </c>
      <c r="X55" s="282">
        <v>1</v>
      </c>
      <c r="Y55" s="283">
        <f>X55/($F62*$E55)</f>
        <v>3.4176349965823645E-2</v>
      </c>
      <c r="Z55" s="69" t="s">
        <v>27</v>
      </c>
      <c r="AA55" s="284">
        <v>0.03</v>
      </c>
      <c r="AB55" s="285">
        <f>+AA55*$E54*$F59</f>
        <v>0.89999999999999991</v>
      </c>
      <c r="AC55" s="69" t="s">
        <v>28</v>
      </c>
      <c r="AD55" s="282">
        <v>1</v>
      </c>
      <c r="AE55" s="283">
        <f>AD55/($F62*$E55)</f>
        <v>3.4176349965823645E-2</v>
      </c>
      <c r="AF55" s="69" t="s">
        <v>27</v>
      </c>
      <c r="AG55" s="284">
        <v>0.1</v>
      </c>
      <c r="AH55" s="285">
        <f>+AG55*$E54*$F59</f>
        <v>3</v>
      </c>
      <c r="AI55" s="69" t="s">
        <v>28</v>
      </c>
      <c r="AJ55" s="282">
        <v>3</v>
      </c>
      <c r="AK55" s="283">
        <f>AJ55/($F62*$E55)</f>
        <v>0.10252904989747094</v>
      </c>
      <c r="AL55" s="69" t="s">
        <v>27</v>
      </c>
      <c r="AM55" s="284">
        <v>0.03</v>
      </c>
      <c r="AN55" s="285">
        <f>+AM55*$E54*$F59</f>
        <v>0.89999999999999991</v>
      </c>
      <c r="AO55" s="69" t="s">
        <v>28</v>
      </c>
      <c r="AP55" s="282">
        <v>1</v>
      </c>
      <c r="AQ55" s="283">
        <f>AP55/($F62*$E55)</f>
        <v>3.4176349965823645E-2</v>
      </c>
      <c r="AR55" s="70" t="s">
        <v>27</v>
      </c>
      <c r="AS55" s="286">
        <v>0.09</v>
      </c>
      <c r="AT55" s="287">
        <f>+AS55*$E54*$F59</f>
        <v>2.6999999999999997</v>
      </c>
      <c r="AU55" s="70" t="s">
        <v>28</v>
      </c>
      <c r="AV55" s="288">
        <v>2</v>
      </c>
      <c r="AW55" s="289">
        <f>AV55/($F62*$E55)</f>
        <v>6.835269993164729E-2</v>
      </c>
      <c r="AX55" s="70" t="s">
        <v>27</v>
      </c>
      <c r="AY55" s="286">
        <v>0.34</v>
      </c>
      <c r="AZ55" s="287">
        <f>+AY55*$E54*$F59</f>
        <v>10.199999999999999</v>
      </c>
      <c r="BA55" s="70" t="s">
        <v>28</v>
      </c>
      <c r="BB55" s="288">
        <v>10</v>
      </c>
      <c r="BC55" s="289">
        <f>BB55/($F62*$E55)</f>
        <v>0.34176349965823649</v>
      </c>
      <c r="BD55" s="70" t="s">
        <v>27</v>
      </c>
      <c r="BE55" s="286">
        <v>0.02</v>
      </c>
      <c r="BF55" s="287">
        <f>+BE55*$E54*$F59</f>
        <v>0.6</v>
      </c>
      <c r="BG55" s="70" t="s">
        <v>28</v>
      </c>
      <c r="BH55" s="288">
        <v>0.5</v>
      </c>
      <c r="BI55" s="290">
        <f>BH55/($F62*$E55)</f>
        <v>1.7088174982911822E-2</v>
      </c>
    </row>
    <row r="56" spans="1:61" ht="17.25" customHeight="1">
      <c r="A56" s="328" t="s">
        <v>80</v>
      </c>
      <c r="B56" s="532" t="s">
        <v>30</v>
      </c>
      <c r="C56" s="454"/>
      <c r="D56" s="455"/>
      <c r="E56" s="533">
        <f>(I54+O54+U54+AA54+AG54+AM54+AS54+AY54+BE54+BE59+AY59+AS59+I59)/2</f>
        <v>0.53500000000000014</v>
      </c>
      <c r="F56" s="457"/>
      <c r="G56" s="534">
        <f>(E56+E57)</f>
        <v>1.0100000000000002</v>
      </c>
      <c r="H56" s="298" t="s">
        <v>31</v>
      </c>
      <c r="I56" s="299">
        <f>+J56/$G54</f>
        <v>2.5999999999999999E-2</v>
      </c>
      <c r="J56" s="74">
        <f>SUM(J54:J55)</f>
        <v>3.9</v>
      </c>
      <c r="K56" s="75" t="s">
        <v>31</v>
      </c>
      <c r="L56" s="300">
        <f>SUM(L54:L55)</f>
        <v>4</v>
      </c>
      <c r="M56" s="301">
        <f>L56/($F62*$G55)</f>
        <v>4.5568466621098203E-2</v>
      </c>
      <c r="N56" s="292" t="s">
        <v>31</v>
      </c>
      <c r="O56" s="293">
        <f>+P56/$G54</f>
        <v>8.0000000000000002E-3</v>
      </c>
      <c r="P56" s="71">
        <f>SUM(P54:P55)</f>
        <v>1.2</v>
      </c>
      <c r="Q56" s="85" t="s">
        <v>31</v>
      </c>
      <c r="R56" s="316">
        <f>SUM(R54:R55)</f>
        <v>1</v>
      </c>
      <c r="S56" s="295">
        <f>R56/($F62*$G55)</f>
        <v>1.1392116655274551E-2</v>
      </c>
      <c r="T56" s="296" t="s">
        <v>31</v>
      </c>
      <c r="U56" s="297">
        <f>+V56/$G54</f>
        <v>2.5999999999999999E-2</v>
      </c>
      <c r="V56" s="73">
        <f>SUM(V54:V55)</f>
        <v>3.9</v>
      </c>
      <c r="W56" s="72" t="s">
        <v>31</v>
      </c>
      <c r="X56" s="294">
        <f>SUM(X54:X55)</f>
        <v>4</v>
      </c>
      <c r="Y56" s="295">
        <f>X56/($F62*$G55)</f>
        <v>4.5568466621098203E-2</v>
      </c>
      <c r="Z56" s="296" t="s">
        <v>31</v>
      </c>
      <c r="AA56" s="297">
        <f>+AB56/$G54</f>
        <v>1.7999999999999999E-2</v>
      </c>
      <c r="AB56" s="73">
        <f>SUM(AB54:AB55)</f>
        <v>2.6999999999999997</v>
      </c>
      <c r="AC56" s="72" t="s">
        <v>31</v>
      </c>
      <c r="AD56" s="294">
        <f>SUM(AD54:AD55)</f>
        <v>3</v>
      </c>
      <c r="AE56" s="295">
        <f>AD56/($F62*$G55)</f>
        <v>3.4176349965823652E-2</v>
      </c>
      <c r="AF56" s="296" t="s">
        <v>31</v>
      </c>
      <c r="AG56" s="297">
        <f>+AH56/$G54</f>
        <v>0.06</v>
      </c>
      <c r="AH56" s="73">
        <f>SUM(AH54:AH55)</f>
        <v>9</v>
      </c>
      <c r="AI56" s="72" t="s">
        <v>31</v>
      </c>
      <c r="AJ56" s="294">
        <f>SUM(AJ54:AJ55)</f>
        <v>9</v>
      </c>
      <c r="AK56" s="295">
        <f>AJ56/($F62*$G55)</f>
        <v>0.10252904989747094</v>
      </c>
      <c r="AL56" s="296" t="s">
        <v>31</v>
      </c>
      <c r="AM56" s="297">
        <f>+AN56/$G54</f>
        <v>2.5999999999999999E-2</v>
      </c>
      <c r="AN56" s="73">
        <f>SUM(AN54:AN55)</f>
        <v>3.9</v>
      </c>
      <c r="AO56" s="72" t="s">
        <v>31</v>
      </c>
      <c r="AP56" s="294">
        <f>SUM(AP54:AP55)</f>
        <v>4</v>
      </c>
      <c r="AQ56" s="295">
        <f>AP56/($F62*$G55)</f>
        <v>4.5568466621098203E-2</v>
      </c>
      <c r="AR56" s="298" t="s">
        <v>31</v>
      </c>
      <c r="AS56" s="299">
        <f>+AT56/$G54</f>
        <v>0.05</v>
      </c>
      <c r="AT56" s="74">
        <f>SUM(AT54:AT55)</f>
        <v>7.5</v>
      </c>
      <c r="AU56" s="75" t="s">
        <v>31</v>
      </c>
      <c r="AV56" s="300">
        <f>SUM(AV54:AV55)</f>
        <v>6</v>
      </c>
      <c r="AW56" s="301">
        <f>AV56/($F62*$G55)</f>
        <v>6.8352699931647304E-2</v>
      </c>
      <c r="AX56" s="298" t="s">
        <v>31</v>
      </c>
      <c r="AY56" s="299">
        <f>+AZ56/$G54</f>
        <v>0.24</v>
      </c>
      <c r="AZ56" s="74">
        <f>SUM(AZ54:AZ55)</f>
        <v>36</v>
      </c>
      <c r="BA56" s="75" t="s">
        <v>31</v>
      </c>
      <c r="BB56" s="300">
        <f>SUM(BB54:BB55)</f>
        <v>35</v>
      </c>
      <c r="BC56" s="301">
        <f>BB56/($F62*$G55)</f>
        <v>0.39872408293460926</v>
      </c>
      <c r="BD56" s="298" t="s">
        <v>31</v>
      </c>
      <c r="BE56" s="299">
        <f>+BF56/$G54</f>
        <v>1.1999999999999999E-2</v>
      </c>
      <c r="BF56" s="74">
        <f>SUM(BF54:BF55)</f>
        <v>1.7999999999999998</v>
      </c>
      <c r="BG56" s="75" t="s">
        <v>31</v>
      </c>
      <c r="BH56" s="300">
        <f>SUM(BH54:BH55)</f>
        <v>1.5</v>
      </c>
      <c r="BI56" s="76">
        <f>BH56/($F62*$G55)</f>
        <v>1.7088174982911826E-2</v>
      </c>
    </row>
    <row r="57" spans="1:61" ht="17.25" customHeight="1" thickBot="1">
      <c r="A57" s="102" t="s">
        <v>79</v>
      </c>
      <c r="B57" s="535" t="s">
        <v>34</v>
      </c>
      <c r="C57" s="461"/>
      <c r="D57" s="462"/>
      <c r="E57" s="536">
        <f>(I55+O55+U55+AA55+AG55+AM55+AS55+AY55+BE55+AS60+AY60+BE60+I60)/2</f>
        <v>0.47500000000000009</v>
      </c>
      <c r="F57" s="464"/>
      <c r="G57" s="459"/>
      <c r="H57" s="537" t="str">
        <f>VLOOKUP(H53,Plancha2!A:M,2,FALSE())</f>
        <v>Poisson</v>
      </c>
      <c r="I57" s="474"/>
      <c r="J57" s="474"/>
      <c r="K57" s="306"/>
      <c r="L57" s="529">
        <f>J56</f>
        <v>3.9</v>
      </c>
      <c r="M57" s="475"/>
      <c r="N57" s="304" t="str">
        <f>VLOOKUP(N53,Friteuse!A:M,2,FALSE())</f>
        <v>Aiguilette</v>
      </c>
      <c r="O57" s="305"/>
      <c r="P57" s="305"/>
      <c r="Q57" s="77"/>
      <c r="R57" s="529">
        <f>VLOOKUP(N53,Friteuse!A:M,3,FALSE())*P56</f>
        <v>1.032</v>
      </c>
      <c r="S57" s="475"/>
      <c r="T57" s="302" t="str">
        <f>VLOOKUP(T53,Wok!A:M,2,FALSE())</f>
        <v>Riz carnoli CUIT (2kg pour 1,6L)</v>
      </c>
      <c r="U57" s="303"/>
      <c r="V57" s="303"/>
      <c r="W57" s="77"/>
      <c r="X57" s="529">
        <f>VLOOKUP(T53,Wok!A:M,3,FALSE())*V56</f>
        <v>1.4039999999999999</v>
      </c>
      <c r="Y57" s="475"/>
      <c r="Z57" s="302" t="str">
        <f>VLOOKUP(Z53,Poele!A:M,2,FALSE())</f>
        <v>Calamars</v>
      </c>
      <c r="AA57" s="303"/>
      <c r="AB57" s="303"/>
      <c r="AC57" s="77"/>
      <c r="AD57" s="529">
        <f>VLOOKUP(Z53,Poele!A:M,3,FALSE())*AB56</f>
        <v>1.7549999999999999</v>
      </c>
      <c r="AE57" s="475"/>
      <c r="AF57" s="302" t="str">
        <f>VLOOKUP(AF53,Four!A:M,2,FALSE())</f>
        <v>Saucisse fumée</v>
      </c>
      <c r="AG57" s="303"/>
      <c r="AH57" s="303"/>
      <c r="AI57" s="77"/>
      <c r="AJ57" s="529">
        <f>VLOOKUP(AF53,Four!A:M,3,FALSE())*AH56</f>
        <v>3.6</v>
      </c>
      <c r="AK57" s="475"/>
      <c r="AL57" s="302" t="str">
        <f>VLOOKUP(AL53,Four!A:M,2,FALSE())</f>
        <v>Bœuf sauté bourgui.</v>
      </c>
      <c r="AM57" s="303"/>
      <c r="AN57" s="303"/>
      <c r="AO57" s="77"/>
      <c r="AP57" s="529">
        <f>VLOOKUP(AL53,Four!A:M,3,FALSE())*AN56</f>
        <v>2.262</v>
      </c>
      <c r="AQ57" s="475"/>
      <c r="AR57" s="538" t="s">
        <v>42</v>
      </c>
      <c r="AS57" s="461"/>
      <c r="AT57" s="461"/>
      <c r="AU57" s="306"/>
      <c r="AV57" s="529">
        <f>AT56</f>
        <v>7.5</v>
      </c>
      <c r="AW57" s="475"/>
      <c r="AX57" s="528" t="s">
        <v>156</v>
      </c>
      <c r="AY57" s="471"/>
      <c r="AZ57" s="471"/>
      <c r="BA57" s="78"/>
      <c r="BB57" s="529">
        <f>AZ56</f>
        <v>36</v>
      </c>
      <c r="BC57" s="475"/>
      <c r="BD57" s="528" t="s">
        <v>157</v>
      </c>
      <c r="BE57" s="471"/>
      <c r="BF57" s="471"/>
      <c r="BG57" s="78"/>
      <c r="BH57" s="529">
        <f>BF56</f>
        <v>1.7999999999999998</v>
      </c>
      <c r="BI57" s="503"/>
    </row>
    <row r="58" spans="1:61" ht="17.25" customHeight="1" thickBot="1">
      <c r="A58" s="102" t="s">
        <v>94</v>
      </c>
      <c r="B58" s="539" t="s">
        <v>46</v>
      </c>
      <c r="C58" s="445"/>
      <c r="D58" s="517"/>
      <c r="E58" s="540">
        <f>(L56+R56+X56+AD56+AJ56+AP56+AV56+BB56+BH56+BH61+(BB61*BB58/1000)+L61+AV61)/(G55*F62)</f>
        <v>1</v>
      </c>
      <c r="F58" s="474"/>
      <c r="G58" s="475"/>
      <c r="H58" s="551" t="s">
        <v>223</v>
      </c>
      <c r="I58" s="552" t="s">
        <v>223</v>
      </c>
      <c r="J58" s="552" t="s">
        <v>223</v>
      </c>
      <c r="K58" s="552" t="s">
        <v>223</v>
      </c>
      <c r="L58" s="552" t="s">
        <v>223</v>
      </c>
      <c r="M58" s="553" t="s">
        <v>223</v>
      </c>
      <c r="N58" s="304" t="str">
        <f>VLOOKUP(N53,Friteuse!A:M,4,FALSE())</f>
        <v>Creme</v>
      </c>
      <c r="O58" s="79"/>
      <c r="P58" s="79"/>
      <c r="Q58" s="79"/>
      <c r="R58" s="530">
        <f>VLOOKUP(N53,Friteuse!A:M,5,FALSE())*P56</f>
        <v>1.2E-2</v>
      </c>
      <c r="S58" s="475"/>
      <c r="T58" s="302" t="str">
        <f>VLOOKUP(T53,Wok!A:M,4,FALSE())</f>
        <v>Courgettes</v>
      </c>
      <c r="U58" s="77"/>
      <c r="V58" s="77"/>
      <c r="W58" s="77"/>
      <c r="X58" s="530">
        <f>VLOOKUP(T53,Wok!A:M,5,FALSE())*V56</f>
        <v>0.39</v>
      </c>
      <c r="Y58" s="475"/>
      <c r="Z58" s="302" t="str">
        <f>VLOOKUP(Z53,Poele!A:M,4,FALSE())</f>
        <v>Oignons</v>
      </c>
      <c r="AA58" s="77"/>
      <c r="AB58" s="77"/>
      <c r="AC58" s="77"/>
      <c r="AD58" s="530">
        <f>VLOOKUP(Z53,Poele!A:M,5,FALSE())*AB56</f>
        <v>0.40499999999999997</v>
      </c>
      <c r="AE58" s="475"/>
      <c r="AF58" s="302" t="str">
        <f>VLOOKUP(AF53,Four!A:M,4,FALSE())</f>
        <v>Poivron R/V</v>
      </c>
      <c r="AG58" s="77"/>
      <c r="AH58" s="77"/>
      <c r="AI58" s="77"/>
      <c r="AJ58" s="530">
        <f>VLOOKUP(AF53,Four!A:M,5,FALSE())*AH56</f>
        <v>1.8</v>
      </c>
      <c r="AK58" s="475"/>
      <c r="AL58" s="302" t="str">
        <f>VLOOKUP(AL53,Four!A:M,4,FALSE())</f>
        <v>Poivron vert</v>
      </c>
      <c r="AM58" s="77"/>
      <c r="AN58" s="77"/>
      <c r="AO58" s="77"/>
      <c r="AP58" s="530">
        <f>VLOOKUP(AL53,Four!A:M,5,FALSE())*AN56</f>
        <v>0.624</v>
      </c>
      <c r="AQ58" s="475"/>
      <c r="AR58" s="481" t="s">
        <v>54</v>
      </c>
      <c r="AS58" s="431"/>
      <c r="AT58" s="431"/>
      <c r="AU58" s="431"/>
      <c r="AV58" s="431"/>
      <c r="AW58" s="432"/>
      <c r="AX58" s="481" t="s">
        <v>55</v>
      </c>
      <c r="AY58" s="431"/>
      <c r="AZ58" s="431"/>
      <c r="BA58" s="431"/>
      <c r="BB58" s="531">
        <v>60</v>
      </c>
      <c r="BC58" s="432"/>
      <c r="BD58" s="483" t="s">
        <v>163</v>
      </c>
      <c r="BE58" s="431"/>
      <c r="BF58" s="431"/>
      <c r="BG58" s="431"/>
      <c r="BH58" s="431"/>
      <c r="BI58" s="484"/>
    </row>
    <row r="59" spans="1:61" ht="17.25" customHeight="1" thickBot="1">
      <c r="A59" s="102" t="s">
        <v>45</v>
      </c>
      <c r="B59" s="513" t="s">
        <v>158</v>
      </c>
      <c r="C59" s="445"/>
      <c r="D59" s="445"/>
      <c r="E59" s="445"/>
      <c r="F59" s="541">
        <v>0.6</v>
      </c>
      <c r="G59" s="446"/>
      <c r="H59" s="276" t="s">
        <v>23</v>
      </c>
      <c r="I59" s="62">
        <v>7.0000000000000007E-2</v>
      </c>
      <c r="J59" s="63">
        <f>+I59*$C54*$F$9</f>
        <v>4.2</v>
      </c>
      <c r="K59" s="276" t="s">
        <v>24</v>
      </c>
      <c r="L59" s="64">
        <v>4</v>
      </c>
      <c r="M59" s="277">
        <f>L59/($F62*$C55)</f>
        <v>6.835269993164729E-2</v>
      </c>
      <c r="N59" s="304" t="str">
        <f>VLOOKUP(N53,Friteuse!A:M,6,FALSE())</f>
        <v>Tandoori</v>
      </c>
      <c r="O59" s="79"/>
      <c r="P59" s="79"/>
      <c r="Q59" s="79"/>
      <c r="R59" s="530">
        <f>VLOOKUP(N53,Friteuse!A:M,7,FALSE())*P56</f>
        <v>1.7999999999999999E-2</v>
      </c>
      <c r="S59" s="475"/>
      <c r="T59" s="302" t="str">
        <f>VLOOKUP(T53,Wok!A:M,6,FALSE())</f>
        <v>Champignon</v>
      </c>
      <c r="U59" s="77"/>
      <c r="V59" s="77"/>
      <c r="W59" s="77"/>
      <c r="X59" s="530">
        <f>VLOOKUP(T53,Wok!A:M,7,FALSE())*V56</f>
        <v>0.624</v>
      </c>
      <c r="Y59" s="475"/>
      <c r="Z59" s="302" t="str">
        <f>VLOOKUP(Z53,Poele!A:M,6,FALSE())</f>
        <v>Piment frais</v>
      </c>
      <c r="AA59" s="77"/>
      <c r="AB59" s="77"/>
      <c r="AC59" s="77"/>
      <c r="AD59" s="530">
        <f>VLOOKUP(Z53,Poele!A:M,7,FALSE())*AB56</f>
        <v>2.6999999999999997E-3</v>
      </c>
      <c r="AE59" s="475"/>
      <c r="AF59" s="302" t="str">
        <f>VLOOKUP(AF53,Four!A:M,6,FALSE())</f>
        <v>Concassé</v>
      </c>
      <c r="AG59" s="77"/>
      <c r="AH59" s="77"/>
      <c r="AI59" s="77"/>
      <c r="AJ59" s="530">
        <f>VLOOKUP(AF53,Four!A:M,7,FALSE())*AH56</f>
        <v>2.6999999999999997</v>
      </c>
      <c r="AK59" s="475"/>
      <c r="AL59" s="302" t="str">
        <f>VLOOKUP(AL53,Four!A:M,6,FALSE())</f>
        <v>Champignons</v>
      </c>
      <c r="AM59" s="77"/>
      <c r="AN59" s="77"/>
      <c r="AO59" s="77"/>
      <c r="AP59" s="530">
        <f>VLOOKUP(AL53,Four!A:M,7,FALSE())*AN56</f>
        <v>0.50700000000000001</v>
      </c>
      <c r="AQ59" s="475"/>
      <c r="AR59" s="276" t="s">
        <v>23</v>
      </c>
      <c r="AS59" s="62">
        <v>0.08</v>
      </c>
      <c r="AT59" s="63">
        <f>+AS59*$C54*$F$9</f>
        <v>4.8</v>
      </c>
      <c r="AU59" s="276" t="s">
        <v>24</v>
      </c>
      <c r="AV59" s="64">
        <v>4</v>
      </c>
      <c r="AW59" s="277">
        <f>AV59/($F62*$C55)</f>
        <v>6.835269993164729E-2</v>
      </c>
      <c r="AX59" s="307" t="s">
        <v>23</v>
      </c>
      <c r="AY59" s="62">
        <v>0.03</v>
      </c>
      <c r="AZ59" s="95">
        <f>AY59*C54*F59/(BB58/1000)</f>
        <v>29.999999999999996</v>
      </c>
      <c r="BA59" s="276" t="s">
        <v>24</v>
      </c>
      <c r="BB59" s="96">
        <v>25</v>
      </c>
      <c r="BC59" s="313">
        <f>(BB59*BB58/1000)/($F62*$C55)</f>
        <v>2.5632262474367735E-2</v>
      </c>
      <c r="BD59" s="276" t="s">
        <v>23</v>
      </c>
      <c r="BE59" s="62">
        <v>7.0000000000000007E-2</v>
      </c>
      <c r="BF59" s="63">
        <f>+BE59*$C54*$F$9</f>
        <v>4.2</v>
      </c>
      <c r="BG59" s="276" t="s">
        <v>24</v>
      </c>
      <c r="BH59" s="64">
        <v>4</v>
      </c>
      <c r="BI59" s="65">
        <f>BH59/($F62*$C55)</f>
        <v>6.835269993164729E-2</v>
      </c>
    </row>
    <row r="60" spans="1:61" ht="17.25" customHeight="1" thickBot="1">
      <c r="A60" s="102" t="s">
        <v>56</v>
      </c>
      <c r="B60" s="544" t="s">
        <v>178</v>
      </c>
      <c r="C60" s="445"/>
      <c r="D60" s="445"/>
      <c r="E60" s="446"/>
      <c r="F60" s="319">
        <f>(L54+R54+L59+X54+AD54+AJ54+AP54+AV54+AV59+BB54+BB59*(BB58/1000)+BH54+BH59)/C55</f>
        <v>0.61</v>
      </c>
      <c r="G60" s="320">
        <f>F60/(F60+F61)</f>
        <v>0.5324720670391061</v>
      </c>
      <c r="H60" s="70" t="s">
        <v>27</v>
      </c>
      <c r="I60" s="286">
        <v>7.0000000000000007E-2</v>
      </c>
      <c r="J60" s="287">
        <f>+I60*$E54*$F59</f>
        <v>2.1</v>
      </c>
      <c r="K60" s="70" t="s">
        <v>28</v>
      </c>
      <c r="L60" s="288">
        <v>2</v>
      </c>
      <c r="M60" s="289">
        <f>L60/($F62*$E55)</f>
        <v>6.835269993164729E-2</v>
      </c>
      <c r="N60" s="304" t="str">
        <f>VLOOKUP(N53,Friteuse!A:M,8,FALSE())</f>
        <v>Sel</v>
      </c>
      <c r="O60" s="79"/>
      <c r="P60" s="79"/>
      <c r="Q60" s="79"/>
      <c r="R60" s="530">
        <f>VLOOKUP(N53,Friteuse!A:M,9,FALSE())*P56</f>
        <v>1.7999999999999999E-2</v>
      </c>
      <c r="S60" s="475"/>
      <c r="T60" s="302" t="str">
        <f>VLOOKUP(T53,Wok!A:M,8,FALSE())</f>
        <v>Creme culinaire</v>
      </c>
      <c r="U60" s="77"/>
      <c r="V60" s="77"/>
      <c r="W60" s="77"/>
      <c r="X60" s="530">
        <f>VLOOKUP(T53,Wok!A:M,9,FALSE())*V56</f>
        <v>0.58499999999999996</v>
      </c>
      <c r="Y60" s="475"/>
      <c r="Z60" s="302" t="str">
        <f>VLOOKUP(Z53,Poele!A:M,8,FALSE())</f>
        <v>Tomates</v>
      </c>
      <c r="AA60" s="77"/>
      <c r="AB60" s="77"/>
      <c r="AC60" s="77"/>
      <c r="AD60" s="530">
        <f>VLOOKUP(Z53,Poele!A:M,9,FALSE())*AB56</f>
        <v>0.53999999999999992</v>
      </c>
      <c r="AE60" s="475"/>
      <c r="AF60" s="302" t="str">
        <f>VLOOKUP(AF53,Four!A:M,8,FALSE())</f>
        <v>Oignon</v>
      </c>
      <c r="AG60" s="77"/>
      <c r="AH60" s="77"/>
      <c r="AI60" s="77"/>
      <c r="AJ60" s="530">
        <f>VLOOKUP(AF53,Four!A:M,9,FALSE())*AH56</f>
        <v>0.9</v>
      </c>
      <c r="AK60" s="475"/>
      <c r="AL60" s="302" t="str">
        <f>VLOOKUP(AL53,Four!A:M,8,FALSE())</f>
        <v>Oignons</v>
      </c>
      <c r="AM60" s="77"/>
      <c r="AN60" s="77"/>
      <c r="AO60" s="77"/>
      <c r="AP60" s="530">
        <f>VLOOKUP(AL53,Four!A:M,9,FALSE())*AN56</f>
        <v>0.50700000000000001</v>
      </c>
      <c r="AQ60" s="475"/>
      <c r="AR60" s="70" t="s">
        <v>27</v>
      </c>
      <c r="AS60" s="286">
        <v>0.09</v>
      </c>
      <c r="AT60" s="287">
        <f>+AS60*$E54*$F59</f>
        <v>2.6999999999999997</v>
      </c>
      <c r="AU60" s="70" t="s">
        <v>28</v>
      </c>
      <c r="AV60" s="288">
        <v>2</v>
      </c>
      <c r="AW60" s="289">
        <f>AV60/($F62*$E55)</f>
        <v>6.835269993164729E-2</v>
      </c>
      <c r="AX60" s="80" t="s">
        <v>27</v>
      </c>
      <c r="AY60" s="286">
        <v>0.03</v>
      </c>
      <c r="AZ60" s="321">
        <f>AY60*E54*F59/(BB58/1000)</f>
        <v>14.999999999999998</v>
      </c>
      <c r="BA60" s="70" t="s">
        <v>28</v>
      </c>
      <c r="BB60" s="322">
        <v>13</v>
      </c>
      <c r="BC60" s="315">
        <f>(BB60*BB58/1000)/($F62*$E55)</f>
        <v>2.6657552973342446E-2</v>
      </c>
      <c r="BD60" s="70" t="s">
        <v>27</v>
      </c>
      <c r="BE60" s="286">
        <v>7.0000000000000007E-2</v>
      </c>
      <c r="BF60" s="287">
        <f>+BE60*$E54*$F59</f>
        <v>2.1</v>
      </c>
      <c r="BG60" s="70" t="s">
        <v>28</v>
      </c>
      <c r="BH60" s="288">
        <v>2</v>
      </c>
      <c r="BI60" s="290">
        <f>BH60/($F62*$E55)</f>
        <v>6.835269993164729E-2</v>
      </c>
    </row>
    <row r="61" spans="1:61" ht="17.25" customHeight="1" thickBot="1">
      <c r="A61" s="102"/>
      <c r="B61" s="447"/>
      <c r="C61" s="434"/>
      <c r="D61" s="434"/>
      <c r="E61" s="435"/>
      <c r="F61" s="323">
        <f>(L55+L60+R55+X55+AD55+AJ55+AP55+AV55+AV60+BB55+BB60*(BB58/1000)+BH60+BH55)/E55</f>
        <v>0.53560000000000008</v>
      </c>
      <c r="G61" s="324">
        <f>F61/(F60+F61)</f>
        <v>0.46752793296089395</v>
      </c>
      <c r="H61" s="298" t="s">
        <v>31</v>
      </c>
      <c r="I61" s="299">
        <f>+J61/$G54</f>
        <v>4.2000000000000003E-2</v>
      </c>
      <c r="J61" s="74">
        <f>SUM(J59:J60)</f>
        <v>6.3000000000000007</v>
      </c>
      <c r="K61" s="75" t="s">
        <v>31</v>
      </c>
      <c r="L61" s="300">
        <f>SUM(L59:L60)</f>
        <v>6</v>
      </c>
      <c r="M61" s="301">
        <f>L61/($F62*$G55)</f>
        <v>6.8352699931647304E-2</v>
      </c>
      <c r="N61" s="304" t="str">
        <f>VLOOKUP(N53,Friteuse!A:M,10,FALSE())</f>
        <v>Panko</v>
      </c>
      <c r="O61" s="78"/>
      <c r="P61" s="78"/>
      <c r="Q61" s="78"/>
      <c r="R61" s="530">
        <f>VLOOKUP(N53,Friteuse!A:M,11,FALSE())*P56</f>
        <v>0.12</v>
      </c>
      <c r="S61" s="475"/>
      <c r="T61" s="302" t="str">
        <f>VLOOKUP(T53,Wok!A:M,10,FALSE())</f>
        <v>Oignon</v>
      </c>
      <c r="U61" s="81"/>
      <c r="V61" s="81"/>
      <c r="W61" s="81"/>
      <c r="X61" s="530">
        <f>VLOOKUP(T53,Wok!A:M,11,FALSE())*V56</f>
        <v>0.19500000000000001</v>
      </c>
      <c r="Y61" s="475"/>
      <c r="Z61" s="302" t="str">
        <f>VLOOKUP(Z53,Poele!A:M,10,FALSE())</f>
        <v>Basilic</v>
      </c>
      <c r="AA61" s="81"/>
      <c r="AB61" s="81"/>
      <c r="AC61" s="81"/>
      <c r="AD61" s="530">
        <f>VLOOKUP(Z53,Poele!A:M,11,FALSE())*AB56</f>
        <v>0</v>
      </c>
      <c r="AE61" s="475"/>
      <c r="AF61" s="302" t="str">
        <f>VLOOKUP(AF53,Four!A:M,10,FALSE())</f>
        <v>Ail / Paprika / Gingembre</v>
      </c>
      <c r="AG61" s="81"/>
      <c r="AH61" s="81"/>
      <c r="AI61" s="81"/>
      <c r="AJ61" s="530">
        <f>VLOOKUP(AF53,Four!A:M,11,FALSE())*AH56</f>
        <v>0</v>
      </c>
      <c r="AK61" s="475"/>
      <c r="AL61" s="302" t="str">
        <f>VLOOKUP(AL53,Four!A:M,10,FALSE())</f>
        <v>Moutarde</v>
      </c>
      <c r="AM61" s="81"/>
      <c r="AN61" s="81"/>
      <c r="AO61" s="81"/>
      <c r="AP61" s="530">
        <f>VLOOKUP(AL53,Four!A:M,11,FALSE())*AN56</f>
        <v>0</v>
      </c>
      <c r="AQ61" s="475"/>
      <c r="AR61" s="298" t="s">
        <v>31</v>
      </c>
      <c r="AS61" s="299">
        <f>+AT61/$G54</f>
        <v>0.05</v>
      </c>
      <c r="AT61" s="74">
        <f>SUM(AT59:AT60)</f>
        <v>7.5</v>
      </c>
      <c r="AU61" s="75" t="s">
        <v>31</v>
      </c>
      <c r="AV61" s="300">
        <f>SUM(AV59:AV60)</f>
        <v>6</v>
      </c>
      <c r="AW61" s="301">
        <f>AV61/($F62*$G55)</f>
        <v>6.8352699931647304E-2</v>
      </c>
      <c r="AX61" s="308" t="s">
        <v>31</v>
      </c>
      <c r="AY61" s="299"/>
      <c r="AZ61" s="97">
        <f>SUM(AZ59:AZ60)</f>
        <v>44.999999999999993</v>
      </c>
      <c r="BA61" s="75" t="s">
        <v>31</v>
      </c>
      <c r="BB61" s="325">
        <f>SUM(BB59:BB60)</f>
        <v>38</v>
      </c>
      <c r="BC61" s="295">
        <f>(BB61*BB58/1000)/($F62*$G55)</f>
        <v>2.5974025974025972E-2</v>
      </c>
      <c r="BD61" s="298" t="s">
        <v>31</v>
      </c>
      <c r="BE61" s="299">
        <f>+BF61/$G54</f>
        <v>4.2000000000000003E-2</v>
      </c>
      <c r="BF61" s="74">
        <f>SUM(BF59:BF60)</f>
        <v>6.3000000000000007</v>
      </c>
      <c r="BG61" s="75" t="s">
        <v>31</v>
      </c>
      <c r="BH61" s="300">
        <f>SUM(BH59:BH60)</f>
        <v>6</v>
      </c>
      <c r="BI61" s="76">
        <f>BH61/($F62*$G55)</f>
        <v>6.8352699931647304E-2</v>
      </c>
    </row>
    <row r="62" spans="1:61" ht="17.25" customHeight="1" thickBot="1">
      <c r="A62" s="103"/>
      <c r="B62" s="545" t="s">
        <v>159</v>
      </c>
      <c r="C62" s="431"/>
      <c r="D62" s="431"/>
      <c r="E62" s="432"/>
      <c r="F62" s="546">
        <f>(L56+L61+R56+X56+AD56+AJ56+AP56+AV56+AV61+BB61*BB58/1000+BB56+BH56+BH61)/G55</f>
        <v>0.58520000000000005</v>
      </c>
      <c r="G62" s="435"/>
      <c r="H62" s="302" t="str">
        <f>VLOOKUP(H58,Plancha2!A:M,2,FALSE())</f>
        <v>Ingr1</v>
      </c>
      <c r="I62" s="82"/>
      <c r="J62" s="78"/>
      <c r="K62" s="78"/>
      <c r="L62" s="529">
        <f>J61</f>
        <v>6.3000000000000007</v>
      </c>
      <c r="M62" s="475"/>
      <c r="N62" s="304">
        <f>VLOOKUP(N53,Friteuse!A:M,12,FALSE())</f>
        <v>0</v>
      </c>
      <c r="O62" s="306"/>
      <c r="P62" s="306"/>
      <c r="Q62" s="306"/>
      <c r="R62" s="542">
        <f>VLOOKUP(N53,Friteuse!A:M,13,FALSE())*P56</f>
        <v>0</v>
      </c>
      <c r="S62" s="435"/>
      <c r="T62" s="302" t="str">
        <f>VLOOKUP(T53,Wok!A:M,12,FALSE())</f>
        <v>Base bouillon</v>
      </c>
      <c r="U62" s="309"/>
      <c r="V62" s="309"/>
      <c r="W62" s="309"/>
      <c r="X62" s="542">
        <f>VLOOKUP(T53,Wok!A:M,13,FALSE())*V56</f>
        <v>0.70199999999999996</v>
      </c>
      <c r="Y62" s="435"/>
      <c r="Z62" s="302" t="str">
        <f>VLOOKUP(Z53,Poele!A:M,12,FALSE())</f>
        <v>Sauce soja</v>
      </c>
      <c r="AA62" s="309"/>
      <c r="AB62" s="309"/>
      <c r="AC62" s="309"/>
      <c r="AD62" s="542">
        <f>VLOOKUP(Z53,Poele!A:M,13,FALSE())*AB56</f>
        <v>0</v>
      </c>
      <c r="AE62" s="435"/>
      <c r="AF62" s="302">
        <f>VLOOKUP(AF53,Four!A:M,12,FALSE())</f>
        <v>0</v>
      </c>
      <c r="AG62" s="309"/>
      <c r="AH62" s="309"/>
      <c r="AI62" s="309"/>
      <c r="AJ62" s="542">
        <f>VLOOKUP(AF53,Four!A:M,13,FALSE())*AH56</f>
        <v>0</v>
      </c>
      <c r="AK62" s="435"/>
      <c r="AL62" s="302" t="str">
        <f>VLOOKUP(AL53,Four!A:M,12,FALSE())</f>
        <v>Bière</v>
      </c>
      <c r="AM62" s="309"/>
      <c r="AN62" s="309"/>
      <c r="AO62" s="309"/>
      <c r="AP62" s="542">
        <f>VLOOKUP(AL53,Four!A:M,13,FALSE())*AN56</f>
        <v>0</v>
      </c>
      <c r="AQ62" s="435"/>
      <c r="AR62" s="310" t="s">
        <v>74</v>
      </c>
      <c r="AS62" s="82"/>
      <c r="AT62" s="78"/>
      <c r="AU62" s="78"/>
      <c r="AV62" s="529">
        <f>AT61</f>
        <v>7.5</v>
      </c>
      <c r="AW62" s="475"/>
      <c r="AX62" s="538" t="s">
        <v>75</v>
      </c>
      <c r="AY62" s="461"/>
      <c r="AZ62" s="461"/>
      <c r="BA62" s="311"/>
      <c r="BB62" s="529">
        <f>AZ61*(BB58/1000)</f>
        <v>2.6999999999999993</v>
      </c>
      <c r="BC62" s="475"/>
      <c r="BD62" s="543" t="s">
        <v>115</v>
      </c>
      <c r="BE62" s="461"/>
      <c r="BF62" s="461"/>
      <c r="BG62" s="311"/>
      <c r="BH62" s="529">
        <f>BF61</f>
        <v>6.3000000000000007</v>
      </c>
      <c r="BI62" s="503"/>
    </row>
    <row r="63" spans="1:61" ht="17.25" customHeight="1" thickBot="1">
      <c r="A63" s="55">
        <f>A53+1</f>
        <v>45368</v>
      </c>
      <c r="B63" s="547" t="s">
        <v>8</v>
      </c>
      <c r="C63" s="432"/>
      <c r="D63" s="547" t="s">
        <v>9</v>
      </c>
      <c r="E63" s="432"/>
      <c r="F63" s="317" t="s">
        <v>10</v>
      </c>
      <c r="G63" s="318"/>
      <c r="H63" s="551" t="s">
        <v>149</v>
      </c>
      <c r="I63" s="552" t="s">
        <v>149</v>
      </c>
      <c r="J63" s="552" t="s">
        <v>149</v>
      </c>
      <c r="K63" s="552" t="s">
        <v>149</v>
      </c>
      <c r="L63" s="552" t="s">
        <v>149</v>
      </c>
      <c r="M63" s="553" t="s">
        <v>149</v>
      </c>
      <c r="N63" s="522" t="s">
        <v>197</v>
      </c>
      <c r="O63" s="431"/>
      <c r="P63" s="431"/>
      <c r="Q63" s="431"/>
      <c r="R63" s="431"/>
      <c r="S63" s="432"/>
      <c r="T63" s="569" t="s">
        <v>246</v>
      </c>
      <c r="U63" s="570" t="s">
        <v>302</v>
      </c>
      <c r="V63" s="570" t="s">
        <v>302</v>
      </c>
      <c r="W63" s="570" t="s">
        <v>302</v>
      </c>
      <c r="X63" s="570" t="s">
        <v>302</v>
      </c>
      <c r="Y63" s="571" t="s">
        <v>302</v>
      </c>
      <c r="Z63" s="523" t="s">
        <v>195</v>
      </c>
      <c r="AA63" s="431" t="s">
        <v>303</v>
      </c>
      <c r="AB63" s="431" t="s">
        <v>303</v>
      </c>
      <c r="AC63" s="431" t="s">
        <v>303</v>
      </c>
      <c r="AD63" s="431" t="s">
        <v>303</v>
      </c>
      <c r="AE63" s="432" t="s">
        <v>303</v>
      </c>
      <c r="AF63" s="519" t="s">
        <v>196</v>
      </c>
      <c r="AG63" s="431" t="s">
        <v>253</v>
      </c>
      <c r="AH63" s="431" t="s">
        <v>253</v>
      </c>
      <c r="AI63" s="431" t="s">
        <v>253</v>
      </c>
      <c r="AJ63" s="431" t="s">
        <v>253</v>
      </c>
      <c r="AK63" s="432" t="s">
        <v>253</v>
      </c>
      <c r="AL63" s="557" t="s">
        <v>723</v>
      </c>
      <c r="AM63" s="558" t="s">
        <v>221</v>
      </c>
      <c r="AN63" s="558" t="s">
        <v>221</v>
      </c>
      <c r="AO63" s="558" t="s">
        <v>221</v>
      </c>
      <c r="AP63" s="558" t="s">
        <v>221</v>
      </c>
      <c r="AQ63" s="559" t="s">
        <v>221</v>
      </c>
      <c r="AR63" s="481" t="s">
        <v>18</v>
      </c>
      <c r="AS63" s="431"/>
      <c r="AT63" s="431"/>
      <c r="AU63" s="431"/>
      <c r="AV63" s="431"/>
      <c r="AW63" s="432"/>
      <c r="AX63" s="482" t="s">
        <v>154</v>
      </c>
      <c r="AY63" s="434"/>
      <c r="AZ63" s="434"/>
      <c r="BA63" s="434"/>
      <c r="BB63" s="434"/>
      <c r="BC63" s="435"/>
      <c r="BD63" s="483" t="s">
        <v>155</v>
      </c>
      <c r="BE63" s="431"/>
      <c r="BF63" s="431"/>
      <c r="BG63" s="431"/>
      <c r="BH63" s="431"/>
      <c r="BI63" s="484"/>
    </row>
    <row r="64" spans="1:61" ht="17.25" customHeight="1">
      <c r="A64" s="87" t="s">
        <v>45</v>
      </c>
      <c r="B64" s="270" t="s">
        <v>22</v>
      </c>
      <c r="C64" s="271">
        <v>100</v>
      </c>
      <c r="D64" s="270" t="s">
        <v>22</v>
      </c>
      <c r="E64" s="272">
        <v>50</v>
      </c>
      <c r="F64" s="270" t="s">
        <v>22</v>
      </c>
      <c r="G64" s="56">
        <f t="shared" ref="G64:G65" si="6">+C64+E64</f>
        <v>150</v>
      </c>
      <c r="H64" s="276" t="s">
        <v>23</v>
      </c>
      <c r="I64" s="62">
        <v>0.05</v>
      </c>
      <c r="J64" s="63">
        <f>+I64*$C64*$F69</f>
        <v>3</v>
      </c>
      <c r="K64" s="276" t="s">
        <v>24</v>
      </c>
      <c r="L64" s="64">
        <v>3</v>
      </c>
      <c r="M64" s="277">
        <f>L64/($F72*$C65)</f>
        <v>5.1264524948735471E-2</v>
      </c>
      <c r="N64" s="273" t="s">
        <v>23</v>
      </c>
      <c r="O64" s="57">
        <v>0.01</v>
      </c>
      <c r="P64" s="58">
        <f>+O64*$C64*$F69</f>
        <v>0.6</v>
      </c>
      <c r="Q64" s="273" t="s">
        <v>24</v>
      </c>
      <c r="R64" s="84">
        <v>0.5</v>
      </c>
      <c r="S64" s="313">
        <f>R64/($F72*$C65)</f>
        <v>8.5440874914559112E-3</v>
      </c>
      <c r="T64" s="274" t="s">
        <v>23</v>
      </c>
      <c r="U64" s="60">
        <v>0.05</v>
      </c>
      <c r="V64" s="61">
        <f>+U64*$C64*$F69</f>
        <v>3</v>
      </c>
      <c r="W64" s="274" t="s">
        <v>24</v>
      </c>
      <c r="X64" s="59">
        <v>3</v>
      </c>
      <c r="Y64" s="275">
        <f>X64/($F72*$C65)</f>
        <v>5.1264524948735471E-2</v>
      </c>
      <c r="Z64" s="274" t="s">
        <v>23</v>
      </c>
      <c r="AA64" s="60">
        <v>0.03</v>
      </c>
      <c r="AB64" s="61">
        <f>+AA64*$C64*$F69</f>
        <v>1.7999999999999998</v>
      </c>
      <c r="AC64" s="274" t="s">
        <v>24</v>
      </c>
      <c r="AD64" s="59">
        <v>2</v>
      </c>
      <c r="AE64" s="275">
        <f>AD64/($F72*$C65)</f>
        <v>3.4176349965823645E-2</v>
      </c>
      <c r="AF64" s="274" t="s">
        <v>23</v>
      </c>
      <c r="AG64" s="60">
        <v>0.1</v>
      </c>
      <c r="AH64" s="61">
        <f>+AG64*$C64*$F69</f>
        <v>6</v>
      </c>
      <c r="AI64" s="274" t="s">
        <v>24</v>
      </c>
      <c r="AJ64" s="59">
        <v>6</v>
      </c>
      <c r="AK64" s="275">
        <f>AJ64/($F72*$C65)</f>
        <v>0.10252904989747094</v>
      </c>
      <c r="AL64" s="274" t="s">
        <v>23</v>
      </c>
      <c r="AM64" s="60">
        <v>0.05</v>
      </c>
      <c r="AN64" s="61">
        <f>+AM64*$C64*$F69</f>
        <v>3</v>
      </c>
      <c r="AO64" s="274" t="s">
        <v>24</v>
      </c>
      <c r="AP64" s="59">
        <v>3</v>
      </c>
      <c r="AQ64" s="275">
        <f>AP64/($F72*$C65)</f>
        <v>5.1264524948735471E-2</v>
      </c>
      <c r="AR64" s="276" t="s">
        <v>23</v>
      </c>
      <c r="AS64" s="62">
        <v>0.08</v>
      </c>
      <c r="AT64" s="63">
        <f>+AS64*$C64*$F69</f>
        <v>4.8</v>
      </c>
      <c r="AU64" s="276" t="s">
        <v>24</v>
      </c>
      <c r="AV64" s="64">
        <v>4</v>
      </c>
      <c r="AW64" s="277">
        <f>AV64/($F72*$C65)</f>
        <v>6.835269993164729E-2</v>
      </c>
      <c r="AX64" s="276" t="s">
        <v>23</v>
      </c>
      <c r="AY64" s="62">
        <v>0.43</v>
      </c>
      <c r="AZ64" s="63">
        <f>+AY64*$C64*$F69</f>
        <v>25.8</v>
      </c>
      <c r="BA64" s="276" t="s">
        <v>24</v>
      </c>
      <c r="BB64" s="64">
        <v>25</v>
      </c>
      <c r="BC64" s="277">
        <f>BB64/($F72*$C65)</f>
        <v>0.42720437457279559</v>
      </c>
      <c r="BD64" s="276" t="s">
        <v>23</v>
      </c>
      <c r="BE64" s="62">
        <v>0.02</v>
      </c>
      <c r="BF64" s="63">
        <f>+BE64*$C64*$F69</f>
        <v>1.2</v>
      </c>
      <c r="BG64" s="276" t="s">
        <v>24</v>
      </c>
      <c r="BH64" s="64">
        <v>1</v>
      </c>
      <c r="BI64" s="65">
        <f>BH64/($F72*$C65)</f>
        <v>1.7088174982911822E-2</v>
      </c>
    </row>
    <row r="65" spans="1:61" ht="17.25" customHeight="1" thickBot="1">
      <c r="A65" s="88" t="s">
        <v>56</v>
      </c>
      <c r="B65" s="266" t="s">
        <v>26</v>
      </c>
      <c r="C65" s="66">
        <v>100</v>
      </c>
      <c r="D65" s="266" t="s">
        <v>26</v>
      </c>
      <c r="E65" s="67">
        <v>50</v>
      </c>
      <c r="F65" s="266" t="s">
        <v>26</v>
      </c>
      <c r="G65" s="279">
        <f t="shared" si="6"/>
        <v>150</v>
      </c>
      <c r="H65" s="70" t="s">
        <v>27</v>
      </c>
      <c r="I65" s="286">
        <v>0.03</v>
      </c>
      <c r="J65" s="287">
        <f>+I65*$E64*$F69</f>
        <v>0.89999999999999991</v>
      </c>
      <c r="K65" s="70" t="s">
        <v>28</v>
      </c>
      <c r="L65" s="288">
        <v>1</v>
      </c>
      <c r="M65" s="289">
        <f>L65/($F72*$E65)</f>
        <v>3.4176349965823645E-2</v>
      </c>
      <c r="N65" s="68" t="s">
        <v>27</v>
      </c>
      <c r="O65" s="280">
        <v>0.02</v>
      </c>
      <c r="P65" s="281">
        <f>+O65*$E64*$F69</f>
        <v>0.6</v>
      </c>
      <c r="Q65" s="68" t="s">
        <v>28</v>
      </c>
      <c r="R65" s="314">
        <v>0.5</v>
      </c>
      <c r="S65" s="315">
        <f>R65/($F72*$E65)</f>
        <v>1.7088174982911822E-2</v>
      </c>
      <c r="T65" s="69" t="s">
        <v>27</v>
      </c>
      <c r="U65" s="284">
        <v>0.03</v>
      </c>
      <c r="V65" s="285">
        <f>+U65*$E64*$F69</f>
        <v>0.89999999999999991</v>
      </c>
      <c r="W65" s="69" t="s">
        <v>28</v>
      </c>
      <c r="X65" s="282">
        <v>1</v>
      </c>
      <c r="Y65" s="283">
        <f>X65/($F72*$E65)</f>
        <v>3.4176349965823645E-2</v>
      </c>
      <c r="Z65" s="69" t="s">
        <v>27</v>
      </c>
      <c r="AA65" s="284">
        <v>0.03</v>
      </c>
      <c r="AB65" s="285">
        <f>+AA65*$E64*$F69</f>
        <v>0.89999999999999991</v>
      </c>
      <c r="AC65" s="69" t="s">
        <v>28</v>
      </c>
      <c r="AD65" s="282">
        <v>1</v>
      </c>
      <c r="AE65" s="283">
        <f>AD65/($F72*$E65)</f>
        <v>3.4176349965823645E-2</v>
      </c>
      <c r="AF65" s="69" t="s">
        <v>27</v>
      </c>
      <c r="AG65" s="284">
        <v>0.1</v>
      </c>
      <c r="AH65" s="285">
        <f>+AG65*$E64*$F69</f>
        <v>3</v>
      </c>
      <c r="AI65" s="69" t="s">
        <v>28</v>
      </c>
      <c r="AJ65" s="282">
        <v>3</v>
      </c>
      <c r="AK65" s="283">
        <f>AJ65/($F72*$E65)</f>
        <v>0.10252904989747094</v>
      </c>
      <c r="AL65" s="69" t="s">
        <v>27</v>
      </c>
      <c r="AM65" s="284">
        <v>0.03</v>
      </c>
      <c r="AN65" s="285">
        <f>+AM65*$E64*$F69</f>
        <v>0.89999999999999991</v>
      </c>
      <c r="AO65" s="69" t="s">
        <v>28</v>
      </c>
      <c r="AP65" s="282">
        <v>1</v>
      </c>
      <c r="AQ65" s="283">
        <f>AP65/($F72*$E65)</f>
        <v>3.4176349965823645E-2</v>
      </c>
      <c r="AR65" s="70" t="s">
        <v>27</v>
      </c>
      <c r="AS65" s="286">
        <v>0.09</v>
      </c>
      <c r="AT65" s="287">
        <f>+AS65*$E64*$F69</f>
        <v>2.6999999999999997</v>
      </c>
      <c r="AU65" s="70" t="s">
        <v>28</v>
      </c>
      <c r="AV65" s="288">
        <v>2</v>
      </c>
      <c r="AW65" s="289">
        <f>AV65/($F72*$E65)</f>
        <v>6.835269993164729E-2</v>
      </c>
      <c r="AX65" s="70" t="s">
        <v>27</v>
      </c>
      <c r="AY65" s="286">
        <v>0.34</v>
      </c>
      <c r="AZ65" s="287">
        <f>+AY65*$E64*$F69</f>
        <v>10.199999999999999</v>
      </c>
      <c r="BA65" s="70" t="s">
        <v>28</v>
      </c>
      <c r="BB65" s="288">
        <v>10</v>
      </c>
      <c r="BC65" s="289">
        <f>BB65/($F72*$E65)</f>
        <v>0.34176349965823649</v>
      </c>
      <c r="BD65" s="70" t="s">
        <v>27</v>
      </c>
      <c r="BE65" s="286">
        <v>0.02</v>
      </c>
      <c r="BF65" s="287">
        <f>+BE65*$E64*$F69</f>
        <v>0.6</v>
      </c>
      <c r="BG65" s="70" t="s">
        <v>28</v>
      </c>
      <c r="BH65" s="288">
        <v>0.5</v>
      </c>
      <c r="BI65" s="290">
        <f>BH65/($F72*$E65)</f>
        <v>1.7088174982911822E-2</v>
      </c>
    </row>
    <row r="66" spans="1:61" ht="17.25" customHeight="1">
      <c r="A66" s="89" t="s">
        <v>79</v>
      </c>
      <c r="B66" s="532" t="s">
        <v>30</v>
      </c>
      <c r="C66" s="454"/>
      <c r="D66" s="455"/>
      <c r="E66" s="533">
        <f>(I64+O64+U64+AA64+AG64+AM64+AS64+AY64+BE64+BE69+AY69+AS69+I69)/2</f>
        <v>0.53500000000000014</v>
      </c>
      <c r="F66" s="457"/>
      <c r="G66" s="534">
        <f>(E66+E67)</f>
        <v>1.0100000000000002</v>
      </c>
      <c r="H66" s="298" t="s">
        <v>31</v>
      </c>
      <c r="I66" s="299">
        <f>+J66/$G64</f>
        <v>2.5999999999999999E-2</v>
      </c>
      <c r="J66" s="74">
        <f>SUM(J64:J65)</f>
        <v>3.9</v>
      </c>
      <c r="K66" s="75" t="s">
        <v>31</v>
      </c>
      <c r="L66" s="300">
        <f>SUM(L64:L65)</f>
        <v>4</v>
      </c>
      <c r="M66" s="301">
        <f>L66/($F72*$G65)</f>
        <v>4.5568466621098203E-2</v>
      </c>
      <c r="N66" s="292" t="s">
        <v>31</v>
      </c>
      <c r="O66" s="293">
        <f>+P66/$G64</f>
        <v>8.0000000000000002E-3</v>
      </c>
      <c r="P66" s="71">
        <f>SUM(P64:P65)</f>
        <v>1.2</v>
      </c>
      <c r="Q66" s="85" t="s">
        <v>31</v>
      </c>
      <c r="R66" s="316">
        <f>SUM(R64:R65)</f>
        <v>1</v>
      </c>
      <c r="S66" s="295">
        <f>R66/($F72*$G65)</f>
        <v>1.1392116655274551E-2</v>
      </c>
      <c r="T66" s="296" t="s">
        <v>31</v>
      </c>
      <c r="U66" s="297">
        <f>+V66/$G64</f>
        <v>2.5999999999999999E-2</v>
      </c>
      <c r="V66" s="73">
        <f>SUM(V64:V65)</f>
        <v>3.9</v>
      </c>
      <c r="W66" s="72" t="s">
        <v>31</v>
      </c>
      <c r="X66" s="294">
        <f>SUM(X64:X65)</f>
        <v>4</v>
      </c>
      <c r="Y66" s="295">
        <f>X66/($F72*$G65)</f>
        <v>4.5568466621098203E-2</v>
      </c>
      <c r="Z66" s="296" t="s">
        <v>31</v>
      </c>
      <c r="AA66" s="297">
        <f>+AB66/$G64</f>
        <v>1.7999999999999999E-2</v>
      </c>
      <c r="AB66" s="73">
        <f>SUM(AB64:AB65)</f>
        <v>2.6999999999999997</v>
      </c>
      <c r="AC66" s="72" t="s">
        <v>31</v>
      </c>
      <c r="AD66" s="294">
        <f>SUM(AD64:AD65)</f>
        <v>3</v>
      </c>
      <c r="AE66" s="295">
        <f>AD66/($F72*$G65)</f>
        <v>3.4176349965823652E-2</v>
      </c>
      <c r="AF66" s="296" t="s">
        <v>31</v>
      </c>
      <c r="AG66" s="297">
        <f>+AH66/$G64</f>
        <v>0.06</v>
      </c>
      <c r="AH66" s="73">
        <f>SUM(AH64:AH65)</f>
        <v>9</v>
      </c>
      <c r="AI66" s="72" t="s">
        <v>31</v>
      </c>
      <c r="AJ66" s="294">
        <f>SUM(AJ64:AJ65)</f>
        <v>9</v>
      </c>
      <c r="AK66" s="295">
        <f>AJ66/($F72*$G65)</f>
        <v>0.10252904989747094</v>
      </c>
      <c r="AL66" s="296" t="s">
        <v>31</v>
      </c>
      <c r="AM66" s="297">
        <f>+AN66/$G64</f>
        <v>2.5999999999999999E-2</v>
      </c>
      <c r="AN66" s="73">
        <f>SUM(AN64:AN65)</f>
        <v>3.9</v>
      </c>
      <c r="AO66" s="72" t="s">
        <v>31</v>
      </c>
      <c r="AP66" s="294">
        <f>SUM(AP64:AP65)</f>
        <v>4</v>
      </c>
      <c r="AQ66" s="295">
        <f>AP66/($F72*$G65)</f>
        <v>4.5568466621098203E-2</v>
      </c>
      <c r="AR66" s="298" t="s">
        <v>31</v>
      </c>
      <c r="AS66" s="299">
        <f>+AT66/$G64</f>
        <v>0.05</v>
      </c>
      <c r="AT66" s="74">
        <f>SUM(AT64:AT65)</f>
        <v>7.5</v>
      </c>
      <c r="AU66" s="75" t="s">
        <v>31</v>
      </c>
      <c r="AV66" s="300">
        <f>SUM(AV64:AV65)</f>
        <v>6</v>
      </c>
      <c r="AW66" s="301">
        <f>AV66/($F72*$G65)</f>
        <v>6.8352699931647304E-2</v>
      </c>
      <c r="AX66" s="298" t="s">
        <v>31</v>
      </c>
      <c r="AY66" s="299">
        <f>+AZ66/$G64</f>
        <v>0.24</v>
      </c>
      <c r="AZ66" s="74">
        <f>SUM(AZ64:AZ65)</f>
        <v>36</v>
      </c>
      <c r="BA66" s="75" t="s">
        <v>31</v>
      </c>
      <c r="BB66" s="300">
        <f>SUM(BB64:BB65)</f>
        <v>35</v>
      </c>
      <c r="BC66" s="301">
        <f>BB66/($F72*$G65)</f>
        <v>0.39872408293460926</v>
      </c>
      <c r="BD66" s="298" t="s">
        <v>31</v>
      </c>
      <c r="BE66" s="299">
        <f>+BF66/$G64</f>
        <v>1.1999999999999999E-2</v>
      </c>
      <c r="BF66" s="74">
        <f>SUM(BF64:BF65)</f>
        <v>1.7999999999999998</v>
      </c>
      <c r="BG66" s="75" t="s">
        <v>31</v>
      </c>
      <c r="BH66" s="300">
        <f>SUM(BH64:BH65)</f>
        <v>1.5</v>
      </c>
      <c r="BI66" s="76">
        <f>BH66/($F72*$G65)</f>
        <v>1.7088174982911826E-2</v>
      </c>
    </row>
    <row r="67" spans="1:61" ht="17.25" customHeight="1" thickBot="1">
      <c r="A67" s="89" t="s">
        <v>80</v>
      </c>
      <c r="B67" s="535" t="s">
        <v>34</v>
      </c>
      <c r="C67" s="461"/>
      <c r="D67" s="462"/>
      <c r="E67" s="536">
        <f>(I65+O65+U65+AA65+AG65+AM65+AS65+AY65+BE65+AS70+AY70+BE70+I70)/2</f>
        <v>0.47500000000000009</v>
      </c>
      <c r="F67" s="464"/>
      <c r="G67" s="459"/>
      <c r="H67" s="537" t="str">
        <f>VLOOKUP(H63,Plancha2!A:M,2,FALSE())</f>
        <v>Poisson</v>
      </c>
      <c r="I67" s="474"/>
      <c r="J67" s="474"/>
      <c r="K67" s="306"/>
      <c r="L67" s="529">
        <f>J66</f>
        <v>3.9</v>
      </c>
      <c r="M67" s="475"/>
      <c r="N67" s="304" t="str">
        <f>VLOOKUP(N63,Friteuse!A:M,2,FALSE())</f>
        <v>Aiguilette</v>
      </c>
      <c r="O67" s="305"/>
      <c r="P67" s="305"/>
      <c r="Q67" s="77"/>
      <c r="R67" s="529">
        <f>VLOOKUP(N63,Friteuse!A:M,3,FALSE())*P66</f>
        <v>1.032</v>
      </c>
      <c r="S67" s="475"/>
      <c r="T67" s="302" t="str">
        <f>VLOOKUP(T63,Wok!A:M,2,FALSE())</f>
        <v>Gambas</v>
      </c>
      <c r="U67" s="303"/>
      <c r="V67" s="303"/>
      <c r="W67" s="77"/>
      <c r="X67" s="529">
        <f>VLOOKUP(T63,Wok!A:M,3,FALSE())*V66</f>
        <v>1.56</v>
      </c>
      <c r="Y67" s="475"/>
      <c r="Z67" s="302" t="str">
        <f>VLOOKUP(Z63,Poele!A:M,2,FALSE())</f>
        <v>Nouille</v>
      </c>
      <c r="AA67" s="303"/>
      <c r="AB67" s="303"/>
      <c r="AC67" s="77"/>
      <c r="AD67" s="529">
        <f>VLOOKUP(Z63,Poele!A:M,3,FALSE())*AB66</f>
        <v>0.43199999999999994</v>
      </c>
      <c r="AE67" s="475"/>
      <c r="AF67" s="302" t="str">
        <f>VLOOKUP(AF63,Four!A:M,2,FALSE())</f>
        <v>Saucisse fumée</v>
      </c>
      <c r="AG67" s="303"/>
      <c r="AH67" s="303"/>
      <c r="AI67" s="77"/>
      <c r="AJ67" s="529">
        <f>VLOOKUP(AF63,Four!A:M,3,FALSE())*AH66</f>
        <v>3.6</v>
      </c>
      <c r="AK67" s="475"/>
      <c r="AL67" s="302" t="str">
        <f>VLOOKUP(AL63,Four!A:M,2,FALSE())</f>
        <v>Bœuf sauté bourgui.</v>
      </c>
      <c r="AM67" s="303"/>
      <c r="AN67" s="303"/>
      <c r="AO67" s="77"/>
      <c r="AP67" s="529">
        <f>VLOOKUP(AL63,Four!A:M,3,FALSE())*AN66</f>
        <v>2.262</v>
      </c>
      <c r="AQ67" s="475"/>
      <c r="AR67" s="538" t="s">
        <v>42</v>
      </c>
      <c r="AS67" s="461"/>
      <c r="AT67" s="461"/>
      <c r="AU67" s="306"/>
      <c r="AV67" s="529">
        <f>AT66</f>
        <v>7.5</v>
      </c>
      <c r="AW67" s="475"/>
      <c r="AX67" s="528" t="s">
        <v>156</v>
      </c>
      <c r="AY67" s="471"/>
      <c r="AZ67" s="471"/>
      <c r="BA67" s="78"/>
      <c r="BB67" s="529">
        <f>AZ66</f>
        <v>36</v>
      </c>
      <c r="BC67" s="475"/>
      <c r="BD67" s="528" t="s">
        <v>157</v>
      </c>
      <c r="BE67" s="471"/>
      <c r="BF67" s="471"/>
      <c r="BG67" s="78"/>
      <c r="BH67" s="529">
        <f>BF66</f>
        <v>1.7999999999999998</v>
      </c>
      <c r="BI67" s="503"/>
    </row>
    <row r="68" spans="1:61" ht="17.25" customHeight="1" thickBot="1">
      <c r="A68" s="89" t="s">
        <v>33</v>
      </c>
      <c r="B68" s="539" t="s">
        <v>46</v>
      </c>
      <c r="C68" s="445"/>
      <c r="D68" s="517"/>
      <c r="E68" s="540">
        <f>(L66+R66+X66+AD66+AJ66+AP66+AV66+BB66+BH66+BH71+(BB71*BB68/1000)+L71+AV71)/(G65*F72)</f>
        <v>1</v>
      </c>
      <c r="F68" s="474"/>
      <c r="G68" s="475"/>
      <c r="H68" s="551" t="s">
        <v>160</v>
      </c>
      <c r="I68" s="552"/>
      <c r="J68" s="552"/>
      <c r="K68" s="552"/>
      <c r="L68" s="552"/>
      <c r="M68" s="553"/>
      <c r="N68" s="304" t="str">
        <f>VLOOKUP(N63,Friteuse!A:M,4,FALSE())</f>
        <v>Creme</v>
      </c>
      <c r="O68" s="79"/>
      <c r="P68" s="79"/>
      <c r="Q68" s="79"/>
      <c r="R68" s="530">
        <f>VLOOKUP(N63,Friteuse!A:M,5,FALSE())*P66</f>
        <v>1.2E-2</v>
      </c>
      <c r="S68" s="475"/>
      <c r="T68" s="302" t="str">
        <f>VLOOKUP(T63,Wok!A:M,4,FALSE())</f>
        <v>Persillade</v>
      </c>
      <c r="U68" s="77"/>
      <c r="V68" s="77"/>
      <c r="W68" s="77"/>
      <c r="X68" s="530">
        <f>VLOOKUP(T63,Wok!A:M,5,FALSE())*V66</f>
        <v>0.78</v>
      </c>
      <c r="Y68" s="475"/>
      <c r="Z68" s="302" t="str">
        <f>VLOOKUP(Z63,Poele!A:M,4,FALSE())</f>
        <v>Poivron vert/rouge</v>
      </c>
      <c r="AA68" s="77"/>
      <c r="AB68" s="77"/>
      <c r="AC68" s="77"/>
      <c r="AD68" s="530">
        <f>VLOOKUP(Z63,Poele!A:M,5,FALSE())*AB66</f>
        <v>0.67499999999999993</v>
      </c>
      <c r="AE68" s="475"/>
      <c r="AF68" s="302" t="str">
        <f>VLOOKUP(AF63,Four!A:M,4,FALSE())</f>
        <v>Poivron R/V</v>
      </c>
      <c r="AG68" s="77"/>
      <c r="AH68" s="77"/>
      <c r="AI68" s="77"/>
      <c r="AJ68" s="530">
        <f>VLOOKUP(AF63,Four!A:M,5,FALSE())*AH66</f>
        <v>1.8</v>
      </c>
      <c r="AK68" s="475"/>
      <c r="AL68" s="302" t="str">
        <f>VLOOKUP(AL63,Four!A:M,4,FALSE())</f>
        <v>Poivron vert</v>
      </c>
      <c r="AM68" s="77"/>
      <c r="AN68" s="77"/>
      <c r="AO68" s="77"/>
      <c r="AP68" s="530">
        <f>VLOOKUP(AL63,Four!A:M,5,FALSE())*AN66</f>
        <v>0.624</v>
      </c>
      <c r="AQ68" s="475"/>
      <c r="AR68" s="481" t="s">
        <v>54</v>
      </c>
      <c r="AS68" s="431"/>
      <c r="AT68" s="431"/>
      <c r="AU68" s="431"/>
      <c r="AV68" s="431"/>
      <c r="AW68" s="432"/>
      <c r="AX68" s="481" t="s">
        <v>55</v>
      </c>
      <c r="AY68" s="431"/>
      <c r="AZ68" s="431"/>
      <c r="BA68" s="431"/>
      <c r="BB68" s="531">
        <v>60</v>
      </c>
      <c r="BC68" s="432"/>
      <c r="BD68" s="483" t="s">
        <v>163</v>
      </c>
      <c r="BE68" s="431"/>
      <c r="BF68" s="431"/>
      <c r="BG68" s="431"/>
      <c r="BH68" s="431"/>
      <c r="BI68" s="484"/>
    </row>
    <row r="69" spans="1:61" ht="17.25" customHeight="1" thickBot="1">
      <c r="A69" s="89" t="s">
        <v>95</v>
      </c>
      <c r="B69" s="513" t="s">
        <v>158</v>
      </c>
      <c r="C69" s="445"/>
      <c r="D69" s="445"/>
      <c r="E69" s="445"/>
      <c r="F69" s="541">
        <v>0.6</v>
      </c>
      <c r="G69" s="446"/>
      <c r="H69" s="276" t="s">
        <v>23</v>
      </c>
      <c r="I69" s="62">
        <v>7.0000000000000007E-2</v>
      </c>
      <c r="J69" s="63">
        <f>+I69*$C64*$F$9</f>
        <v>4.2</v>
      </c>
      <c r="K69" s="276" t="s">
        <v>24</v>
      </c>
      <c r="L69" s="64">
        <v>4</v>
      </c>
      <c r="M69" s="277">
        <f>L69/($F72*$C65)</f>
        <v>6.835269993164729E-2</v>
      </c>
      <c r="N69" s="304" t="str">
        <f>VLOOKUP(N63,Friteuse!A:M,6,FALSE())</f>
        <v>Tandoori</v>
      </c>
      <c r="O69" s="79"/>
      <c r="P69" s="79"/>
      <c r="Q69" s="79"/>
      <c r="R69" s="530">
        <f>VLOOKUP(N63,Friteuse!A:M,7,FALSE())*P66</f>
        <v>1.7999999999999999E-2</v>
      </c>
      <c r="S69" s="475"/>
      <c r="T69" s="302" t="str">
        <f>VLOOKUP(T63,Wok!A:M,6,FALSE())</f>
        <v>Whisky</v>
      </c>
      <c r="U69" s="77"/>
      <c r="V69" s="77"/>
      <c r="W69" s="77"/>
      <c r="X69" s="530">
        <f>VLOOKUP(T63,Wok!A:M,7,FALSE())*V66</f>
        <v>0.78</v>
      </c>
      <c r="Y69" s="475"/>
      <c r="Z69" s="302" t="str">
        <f>VLOOKUP(Z63,Poele!A:M,6,FALSE())</f>
        <v>Pois gourmand</v>
      </c>
      <c r="AA69" s="77"/>
      <c r="AB69" s="77"/>
      <c r="AC69" s="77"/>
      <c r="AD69" s="530">
        <f>VLOOKUP(Z63,Poele!A:M,7,FALSE())*AB66</f>
        <v>0.35099999999999998</v>
      </c>
      <c r="AE69" s="475"/>
      <c r="AF69" s="302" t="str">
        <f>VLOOKUP(AF63,Four!A:M,6,FALSE())</f>
        <v>Concassé</v>
      </c>
      <c r="AG69" s="77"/>
      <c r="AH69" s="77"/>
      <c r="AI69" s="77"/>
      <c r="AJ69" s="530">
        <f>VLOOKUP(AF63,Four!A:M,7,FALSE())*AH66</f>
        <v>2.6999999999999997</v>
      </c>
      <c r="AK69" s="475"/>
      <c r="AL69" s="302" t="str">
        <f>VLOOKUP(AL63,Four!A:M,6,FALSE())</f>
        <v>Champignons</v>
      </c>
      <c r="AM69" s="77"/>
      <c r="AN69" s="77"/>
      <c r="AO69" s="77"/>
      <c r="AP69" s="530">
        <f>VLOOKUP(AL63,Four!A:M,7,FALSE())*AN66</f>
        <v>0.50700000000000001</v>
      </c>
      <c r="AQ69" s="475"/>
      <c r="AR69" s="276" t="s">
        <v>23</v>
      </c>
      <c r="AS69" s="62">
        <v>0.08</v>
      </c>
      <c r="AT69" s="63">
        <f>+AS69*$C64*$F$9</f>
        <v>4.8</v>
      </c>
      <c r="AU69" s="276" t="s">
        <v>24</v>
      </c>
      <c r="AV69" s="64">
        <v>4</v>
      </c>
      <c r="AW69" s="277">
        <f>AV69/($F72*$C65)</f>
        <v>6.835269993164729E-2</v>
      </c>
      <c r="AX69" s="307" t="s">
        <v>23</v>
      </c>
      <c r="AY69" s="62">
        <v>0.03</v>
      </c>
      <c r="AZ69" s="95">
        <f>AY69*C64*F69/(BB68/1000)</f>
        <v>29.999999999999996</v>
      </c>
      <c r="BA69" s="276" t="s">
        <v>24</v>
      </c>
      <c r="BB69" s="96">
        <v>25</v>
      </c>
      <c r="BC69" s="313">
        <f>(BB69*BB68/1000)/($F72*$C65)</f>
        <v>2.5632262474367735E-2</v>
      </c>
      <c r="BD69" s="276" t="s">
        <v>23</v>
      </c>
      <c r="BE69" s="62">
        <v>7.0000000000000007E-2</v>
      </c>
      <c r="BF69" s="63">
        <f>+BE69*$C64*$F$9</f>
        <v>4.2</v>
      </c>
      <c r="BG69" s="276" t="s">
        <v>24</v>
      </c>
      <c r="BH69" s="64">
        <v>4</v>
      </c>
      <c r="BI69" s="65">
        <f>BH69/($F72*$C65)</f>
        <v>6.835269993164729E-2</v>
      </c>
    </row>
    <row r="70" spans="1:61" ht="17.25" customHeight="1" thickBot="1">
      <c r="A70" s="89" t="s">
        <v>138</v>
      </c>
      <c r="B70" s="544" t="s">
        <v>178</v>
      </c>
      <c r="C70" s="445"/>
      <c r="D70" s="445"/>
      <c r="E70" s="446"/>
      <c r="F70" s="319">
        <f>(L64+R64+L69+X64+AD64+AJ64+AP64+AV64+AV69+BB64+BB69*(BB68/1000)+BH64+BH69)/C65</f>
        <v>0.61</v>
      </c>
      <c r="G70" s="320">
        <f>F70/(F70+F71)</f>
        <v>0.5324720670391061</v>
      </c>
      <c r="H70" s="70" t="s">
        <v>27</v>
      </c>
      <c r="I70" s="286">
        <v>7.0000000000000007E-2</v>
      </c>
      <c r="J70" s="287">
        <f>+I70*$E64*$F69</f>
        <v>2.1</v>
      </c>
      <c r="K70" s="70" t="s">
        <v>28</v>
      </c>
      <c r="L70" s="288">
        <v>2</v>
      </c>
      <c r="M70" s="289">
        <f>L70/($F72*$E65)</f>
        <v>6.835269993164729E-2</v>
      </c>
      <c r="N70" s="304" t="str">
        <f>VLOOKUP(N63,Friteuse!A:M,8,FALSE())</f>
        <v>Sel</v>
      </c>
      <c r="O70" s="79"/>
      <c r="P70" s="79"/>
      <c r="Q70" s="79"/>
      <c r="R70" s="530">
        <f>VLOOKUP(N63,Friteuse!A:M,9,FALSE())*P66</f>
        <v>1.7999999999999999E-2</v>
      </c>
      <c r="S70" s="475"/>
      <c r="T70" s="302" t="str">
        <f>VLOOKUP(T63,Wok!A:M,8,FALSE())</f>
        <v>Beurre</v>
      </c>
      <c r="U70" s="77"/>
      <c r="V70" s="77"/>
      <c r="W70" s="77"/>
      <c r="X70" s="530">
        <f>VLOOKUP(T63,Wok!A:M,9,FALSE())*V66</f>
        <v>1.95</v>
      </c>
      <c r="Y70" s="475"/>
      <c r="Z70" s="302" t="str">
        <f>VLOOKUP(Z63,Poele!A:M,8,FALSE())</f>
        <v>Pousse bambou</v>
      </c>
      <c r="AA70" s="77"/>
      <c r="AB70" s="77"/>
      <c r="AC70" s="77"/>
      <c r="AD70" s="530">
        <f>VLOOKUP(Z63,Poele!A:M,9,FALSE())*AB66</f>
        <v>0.35099999999999998</v>
      </c>
      <c r="AE70" s="475"/>
      <c r="AF70" s="302" t="str">
        <f>VLOOKUP(AF63,Four!A:M,8,FALSE())</f>
        <v>Oignon</v>
      </c>
      <c r="AG70" s="77"/>
      <c r="AH70" s="77"/>
      <c r="AI70" s="77"/>
      <c r="AJ70" s="530">
        <f>VLOOKUP(AF63,Four!A:M,9,FALSE())*AH66</f>
        <v>0.9</v>
      </c>
      <c r="AK70" s="475"/>
      <c r="AL70" s="302" t="str">
        <f>VLOOKUP(AL63,Four!A:M,8,FALSE())</f>
        <v>Oignons</v>
      </c>
      <c r="AM70" s="77"/>
      <c r="AN70" s="77"/>
      <c r="AO70" s="77"/>
      <c r="AP70" s="530">
        <f>VLOOKUP(AL63,Four!A:M,9,FALSE())*AN66</f>
        <v>0.50700000000000001</v>
      </c>
      <c r="AQ70" s="475"/>
      <c r="AR70" s="70" t="s">
        <v>27</v>
      </c>
      <c r="AS70" s="286">
        <v>0.09</v>
      </c>
      <c r="AT70" s="287">
        <f>+AS70*$E64*$F69</f>
        <v>2.6999999999999997</v>
      </c>
      <c r="AU70" s="70" t="s">
        <v>28</v>
      </c>
      <c r="AV70" s="288">
        <v>2</v>
      </c>
      <c r="AW70" s="289">
        <f>AV70/($F72*$E65)</f>
        <v>6.835269993164729E-2</v>
      </c>
      <c r="AX70" s="80" t="s">
        <v>27</v>
      </c>
      <c r="AY70" s="286">
        <v>0.03</v>
      </c>
      <c r="AZ70" s="321">
        <f>AY70*E64*F69/(BB68/1000)</f>
        <v>14.999999999999998</v>
      </c>
      <c r="BA70" s="70" t="s">
        <v>28</v>
      </c>
      <c r="BB70" s="322">
        <v>13</v>
      </c>
      <c r="BC70" s="315">
        <f>(BB70*BB68/1000)/($F72*$E65)</f>
        <v>2.6657552973342446E-2</v>
      </c>
      <c r="BD70" s="70" t="s">
        <v>27</v>
      </c>
      <c r="BE70" s="286">
        <v>7.0000000000000007E-2</v>
      </c>
      <c r="BF70" s="287">
        <f>+BE70*$E64*$F69</f>
        <v>2.1</v>
      </c>
      <c r="BG70" s="70" t="s">
        <v>28</v>
      </c>
      <c r="BH70" s="288">
        <v>2</v>
      </c>
      <c r="BI70" s="290">
        <f>BH70/($F72*$E65)</f>
        <v>6.835269993164729E-2</v>
      </c>
    </row>
    <row r="71" spans="1:61" ht="17.25" customHeight="1" thickBot="1">
      <c r="A71" s="89" t="s">
        <v>94</v>
      </c>
      <c r="B71" s="447"/>
      <c r="C71" s="434"/>
      <c r="D71" s="434"/>
      <c r="E71" s="435"/>
      <c r="F71" s="323">
        <f>(L65+L70+R65+X65+AD65+AJ65+AP65+AV65+AV70+BB65+BB70*(BB68/1000)+BH70+BH65)/E65</f>
        <v>0.53560000000000008</v>
      </c>
      <c r="G71" s="324">
        <f>F71/(F70+F71)</f>
        <v>0.46752793296089395</v>
      </c>
      <c r="H71" s="298" t="s">
        <v>31</v>
      </c>
      <c r="I71" s="299">
        <f>+J71/$G64</f>
        <v>4.2000000000000003E-2</v>
      </c>
      <c r="J71" s="74">
        <f>SUM(J69:J70)</f>
        <v>6.3000000000000007</v>
      </c>
      <c r="K71" s="75" t="s">
        <v>31</v>
      </c>
      <c r="L71" s="300">
        <f>SUM(L69:L70)</f>
        <v>6</v>
      </c>
      <c r="M71" s="301">
        <f>L71/($F72*$G65)</f>
        <v>6.8352699931647304E-2</v>
      </c>
      <c r="N71" s="304" t="str">
        <f>VLOOKUP(N63,Friteuse!A:M,10,FALSE())</f>
        <v>Panko</v>
      </c>
      <c r="O71" s="78"/>
      <c r="P71" s="78"/>
      <c r="Q71" s="78"/>
      <c r="R71" s="530">
        <f>VLOOKUP(N63,Friteuse!A:M,11,FALSE())*P66</f>
        <v>0.12</v>
      </c>
      <c r="S71" s="475"/>
      <c r="T71" s="302">
        <f>VLOOKUP(T63,Wok!A:M,10,FALSE())</f>
        <v>0</v>
      </c>
      <c r="U71" s="81"/>
      <c r="V71" s="81"/>
      <c r="W71" s="81"/>
      <c r="X71" s="530">
        <f>VLOOKUP(T63,Wok!A:M,11,FALSE())*V66</f>
        <v>0</v>
      </c>
      <c r="Y71" s="475"/>
      <c r="Z71" s="302" t="str">
        <f>VLOOKUP(Z63,Poele!A:M,10,FALSE())</f>
        <v>Soja frais</v>
      </c>
      <c r="AA71" s="81"/>
      <c r="AB71" s="81"/>
      <c r="AC71" s="81"/>
      <c r="AD71" s="530">
        <f>VLOOKUP(Z63,Poele!A:M,11,FALSE())*AB66</f>
        <v>0.35099999999999998</v>
      </c>
      <c r="AE71" s="475"/>
      <c r="AF71" s="302" t="str">
        <f>VLOOKUP(AF63,Four!A:M,10,FALSE())</f>
        <v>Ail / Paprika / Gingembre</v>
      </c>
      <c r="AG71" s="81"/>
      <c r="AH71" s="81"/>
      <c r="AI71" s="81"/>
      <c r="AJ71" s="530">
        <f>VLOOKUP(AF63,Four!A:M,11,FALSE())*AH66</f>
        <v>0</v>
      </c>
      <c r="AK71" s="475"/>
      <c r="AL71" s="302" t="str">
        <f>VLOOKUP(AL63,Four!A:M,10,FALSE())</f>
        <v>Moutarde</v>
      </c>
      <c r="AM71" s="81"/>
      <c r="AN71" s="81"/>
      <c r="AO71" s="81"/>
      <c r="AP71" s="530">
        <f>VLOOKUP(AL63,Four!A:M,11,FALSE())*AN66</f>
        <v>0</v>
      </c>
      <c r="AQ71" s="475"/>
      <c r="AR71" s="298" t="s">
        <v>31</v>
      </c>
      <c r="AS71" s="299">
        <f>+AT71/$G64</f>
        <v>0.05</v>
      </c>
      <c r="AT71" s="74">
        <f>SUM(AT69:AT70)</f>
        <v>7.5</v>
      </c>
      <c r="AU71" s="75" t="s">
        <v>31</v>
      </c>
      <c r="AV71" s="300">
        <f>SUM(AV69:AV70)</f>
        <v>6</v>
      </c>
      <c r="AW71" s="301">
        <f>AV71/($F72*$G65)</f>
        <v>6.8352699931647304E-2</v>
      </c>
      <c r="AX71" s="308" t="s">
        <v>31</v>
      </c>
      <c r="AY71" s="299"/>
      <c r="AZ71" s="97">
        <f>SUM(AZ69:AZ70)</f>
        <v>44.999999999999993</v>
      </c>
      <c r="BA71" s="75" t="s">
        <v>31</v>
      </c>
      <c r="BB71" s="325">
        <f>SUM(BB69:BB70)</f>
        <v>38</v>
      </c>
      <c r="BC71" s="295">
        <f>(BB71*BB68/1000)/($F72*$G65)</f>
        <v>2.5974025974025972E-2</v>
      </c>
      <c r="BD71" s="298" t="s">
        <v>31</v>
      </c>
      <c r="BE71" s="299">
        <f>+BF71/$G64</f>
        <v>4.2000000000000003E-2</v>
      </c>
      <c r="BF71" s="74">
        <f>SUM(BF69:BF70)</f>
        <v>6.3000000000000007</v>
      </c>
      <c r="BG71" s="75" t="s">
        <v>31</v>
      </c>
      <c r="BH71" s="300">
        <f>SUM(BH69:BH70)</f>
        <v>6</v>
      </c>
      <c r="BI71" s="76">
        <f>BH71/($F72*$G65)</f>
        <v>6.8352699931647304E-2</v>
      </c>
    </row>
    <row r="72" spans="1:61" ht="17.25" customHeight="1" thickBot="1">
      <c r="A72" s="90"/>
      <c r="B72" s="545" t="s">
        <v>159</v>
      </c>
      <c r="C72" s="431"/>
      <c r="D72" s="431"/>
      <c r="E72" s="432"/>
      <c r="F72" s="546">
        <f>(L66+L71+R66+X66+AD66+AJ66+AP66+AV66+AV71+BB71*BB68/1000+BB66+BH66+BH71)/G65</f>
        <v>0.58520000000000005</v>
      </c>
      <c r="G72" s="435"/>
      <c r="H72" s="302" t="str">
        <f>VLOOKUP(H68,Plancha2!A:M,2,FALSE())</f>
        <v>Lamelle encornet</v>
      </c>
      <c r="I72" s="82"/>
      <c r="J72" s="78"/>
      <c r="K72" s="78"/>
      <c r="L72" s="529">
        <f>J71</f>
        <v>6.3000000000000007</v>
      </c>
      <c r="M72" s="475"/>
      <c r="N72" s="101">
        <f>VLOOKUP(N63,Friteuse!A:M,12,FALSE())</f>
        <v>0</v>
      </c>
      <c r="O72" s="70"/>
      <c r="P72" s="70"/>
      <c r="Q72" s="70"/>
      <c r="R72" s="548">
        <f>VLOOKUP(N63,Friteuse!A:M,13,FALSE())*P66</f>
        <v>0</v>
      </c>
      <c r="S72" s="468"/>
      <c r="T72" s="91">
        <f>VLOOKUP(T63,Wok!A:M,12,FALSE())</f>
        <v>0</v>
      </c>
      <c r="U72" s="92"/>
      <c r="V72" s="92"/>
      <c r="W72" s="92"/>
      <c r="X72" s="548">
        <f>VLOOKUP(T63,Wok!A:M,13,FALSE())*V66</f>
        <v>0</v>
      </c>
      <c r="Y72" s="468"/>
      <c r="Z72" s="91" t="str">
        <f>VLOOKUP(Z63,Poele!A:M,12,FALSE())</f>
        <v>Champ. noirs</v>
      </c>
      <c r="AA72" s="92"/>
      <c r="AB72" s="92"/>
      <c r="AC72" s="92"/>
      <c r="AD72" s="548">
        <f>VLOOKUP(Z63,Poele!A:M,13,FALSE())*AB66</f>
        <v>0.53999999999999992</v>
      </c>
      <c r="AE72" s="468"/>
      <c r="AF72" s="91">
        <f>VLOOKUP(AF63,Four!A:M,12,FALSE())</f>
        <v>0</v>
      </c>
      <c r="AG72" s="92"/>
      <c r="AH72" s="92"/>
      <c r="AI72" s="92"/>
      <c r="AJ72" s="548">
        <f>VLOOKUP(AF63,Four!A:M,13,FALSE())*AH66</f>
        <v>0</v>
      </c>
      <c r="AK72" s="468"/>
      <c r="AL72" s="91" t="str">
        <f>VLOOKUP(AL63,Four!A:M,12,FALSE())</f>
        <v>Bière</v>
      </c>
      <c r="AM72" s="92"/>
      <c r="AN72" s="92"/>
      <c r="AO72" s="92"/>
      <c r="AP72" s="548">
        <f>VLOOKUP(AL63,Four!A:M,13,FALSE())*AN66</f>
        <v>0</v>
      </c>
      <c r="AQ72" s="468"/>
      <c r="AR72" s="80" t="s">
        <v>74</v>
      </c>
      <c r="AS72" s="93"/>
      <c r="AT72" s="70"/>
      <c r="AU72" s="70"/>
      <c r="AV72" s="549">
        <f>AT71</f>
        <v>7.5</v>
      </c>
      <c r="AW72" s="468"/>
      <c r="AX72" s="538" t="s">
        <v>75</v>
      </c>
      <c r="AY72" s="461"/>
      <c r="AZ72" s="461"/>
      <c r="BA72" s="311"/>
      <c r="BB72" s="529">
        <f>AZ71*(BB68/1000)</f>
        <v>2.6999999999999993</v>
      </c>
      <c r="BC72" s="475"/>
      <c r="BD72" s="543" t="s">
        <v>115</v>
      </c>
      <c r="BE72" s="461"/>
      <c r="BF72" s="461"/>
      <c r="BG72" s="94"/>
      <c r="BH72" s="549">
        <f>BF71</f>
        <v>6.3000000000000007</v>
      </c>
      <c r="BI72" s="550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</sheetData>
  <mergeCells count="515">
    <mergeCell ref="AV72:AW72"/>
    <mergeCell ref="AX72:AZ72"/>
    <mergeCell ref="BB72:BC72"/>
    <mergeCell ref="BD72:BF72"/>
    <mergeCell ref="BH72:BI72"/>
    <mergeCell ref="AJ71:AK71"/>
    <mergeCell ref="AP71:AQ71"/>
    <mergeCell ref="B72:E72"/>
    <mergeCell ref="F72:G72"/>
    <mergeCell ref="L72:M72"/>
    <mergeCell ref="R72:S72"/>
    <mergeCell ref="X72:Y72"/>
    <mergeCell ref="AD72:AE72"/>
    <mergeCell ref="AJ72:AK72"/>
    <mergeCell ref="AP72:AQ72"/>
    <mergeCell ref="AP69:AQ69"/>
    <mergeCell ref="B70:E71"/>
    <mergeCell ref="R70:S70"/>
    <mergeCell ref="X70:Y70"/>
    <mergeCell ref="AD70:AE70"/>
    <mergeCell ref="AJ70:AK70"/>
    <mergeCell ref="AP70:AQ70"/>
    <mergeCell ref="R71:S71"/>
    <mergeCell ref="X71:Y71"/>
    <mergeCell ref="AD71:AE71"/>
    <mergeCell ref="B69:E69"/>
    <mergeCell ref="F69:G69"/>
    <mergeCell ref="R69:S69"/>
    <mergeCell ref="X69:Y69"/>
    <mergeCell ref="AD69:AE69"/>
    <mergeCell ref="AJ69:AK69"/>
    <mergeCell ref="AJ68:AK68"/>
    <mergeCell ref="AP68:AQ68"/>
    <mergeCell ref="AR68:AW68"/>
    <mergeCell ref="AX68:BA68"/>
    <mergeCell ref="BB68:BC68"/>
    <mergeCell ref="BD68:BI68"/>
    <mergeCell ref="B68:D68"/>
    <mergeCell ref="E68:G68"/>
    <mergeCell ref="H68:M68"/>
    <mergeCell ref="R68:S68"/>
    <mergeCell ref="X68:Y68"/>
    <mergeCell ref="AD68:AE68"/>
    <mergeCell ref="AR67:AT67"/>
    <mergeCell ref="AV67:AW67"/>
    <mergeCell ref="AX67:AZ67"/>
    <mergeCell ref="BB67:BC67"/>
    <mergeCell ref="BD67:BF67"/>
    <mergeCell ref="BH67:BI67"/>
    <mergeCell ref="L67:M67"/>
    <mergeCell ref="R67:S67"/>
    <mergeCell ref="X67:Y67"/>
    <mergeCell ref="AD67:AE67"/>
    <mergeCell ref="AJ67:AK67"/>
    <mergeCell ref="AP67:AQ67"/>
    <mergeCell ref="B66:D66"/>
    <mergeCell ref="E66:F66"/>
    <mergeCell ref="G66:G67"/>
    <mergeCell ref="B67:D67"/>
    <mergeCell ref="E67:F67"/>
    <mergeCell ref="H67:J67"/>
    <mergeCell ref="Z63:AE63"/>
    <mergeCell ref="AF63:AK63"/>
    <mergeCell ref="AL63:AQ63"/>
    <mergeCell ref="AX63:BC63"/>
    <mergeCell ref="BD63:BI63"/>
    <mergeCell ref="AV62:AW62"/>
    <mergeCell ref="AX62:AZ62"/>
    <mergeCell ref="BB62:BC62"/>
    <mergeCell ref="BD62:BF62"/>
    <mergeCell ref="BH62:BI62"/>
    <mergeCell ref="B63:C63"/>
    <mergeCell ref="D63:E63"/>
    <mergeCell ref="H63:M63"/>
    <mergeCell ref="N63:S63"/>
    <mergeCell ref="T63:Y63"/>
    <mergeCell ref="B62:E62"/>
    <mergeCell ref="F62:G62"/>
    <mergeCell ref="L62:M62"/>
    <mergeCell ref="R62:S62"/>
    <mergeCell ref="X62:Y62"/>
    <mergeCell ref="AD62:AE62"/>
    <mergeCell ref="AJ62:AK62"/>
    <mergeCell ref="AP62:AQ62"/>
    <mergeCell ref="AR63:AW63"/>
    <mergeCell ref="AP59:AQ59"/>
    <mergeCell ref="B60:E61"/>
    <mergeCell ref="R60:S60"/>
    <mergeCell ref="X60:Y60"/>
    <mergeCell ref="AD60:AE60"/>
    <mergeCell ref="AJ60:AK60"/>
    <mergeCell ref="AP60:AQ60"/>
    <mergeCell ref="R61:S61"/>
    <mergeCell ref="X61:Y61"/>
    <mergeCell ref="AD61:AE61"/>
    <mergeCell ref="B59:E59"/>
    <mergeCell ref="F59:G59"/>
    <mergeCell ref="R59:S59"/>
    <mergeCell ref="X59:Y59"/>
    <mergeCell ref="AD59:AE59"/>
    <mergeCell ref="AJ59:AK59"/>
    <mergeCell ref="AJ61:AK61"/>
    <mergeCell ref="AP61:AQ61"/>
    <mergeCell ref="AJ58:AK58"/>
    <mergeCell ref="AP58:AQ58"/>
    <mergeCell ref="AR58:AW58"/>
    <mergeCell ref="AX58:BA58"/>
    <mergeCell ref="BB58:BC58"/>
    <mergeCell ref="BD58:BI58"/>
    <mergeCell ref="B58:D58"/>
    <mergeCell ref="E58:G58"/>
    <mergeCell ref="H58:M58"/>
    <mergeCell ref="R58:S58"/>
    <mergeCell ref="X58:Y58"/>
    <mergeCell ref="AD58:AE58"/>
    <mergeCell ref="AR57:AT57"/>
    <mergeCell ref="AV57:AW57"/>
    <mergeCell ref="AX57:AZ57"/>
    <mergeCell ref="BB57:BC57"/>
    <mergeCell ref="BD57:BF57"/>
    <mergeCell ref="BH57:BI57"/>
    <mergeCell ref="L57:M57"/>
    <mergeCell ref="R57:S57"/>
    <mergeCell ref="X57:Y57"/>
    <mergeCell ref="AD57:AE57"/>
    <mergeCell ref="AJ57:AK57"/>
    <mergeCell ref="AP57:AQ57"/>
    <mergeCell ref="B56:D56"/>
    <mergeCell ref="E56:F56"/>
    <mergeCell ref="G56:G57"/>
    <mergeCell ref="B57:D57"/>
    <mergeCell ref="E57:F57"/>
    <mergeCell ref="H57:J57"/>
    <mergeCell ref="Z53:AE53"/>
    <mergeCell ref="AF53:AK53"/>
    <mergeCell ref="AL53:AQ53"/>
    <mergeCell ref="AX53:BC53"/>
    <mergeCell ref="BD53:BI53"/>
    <mergeCell ref="AV52:AW52"/>
    <mergeCell ref="AX52:AZ52"/>
    <mergeCell ref="BB52:BC52"/>
    <mergeCell ref="BD52:BF52"/>
    <mergeCell ref="BH52:BI52"/>
    <mergeCell ref="B53:C53"/>
    <mergeCell ref="D53:E53"/>
    <mergeCell ref="H53:M53"/>
    <mergeCell ref="N53:S53"/>
    <mergeCell ref="T53:Y53"/>
    <mergeCell ref="B52:E52"/>
    <mergeCell ref="F52:G52"/>
    <mergeCell ref="L52:M52"/>
    <mergeCell ref="R52:S52"/>
    <mergeCell ref="X52:Y52"/>
    <mergeCell ref="AD52:AE52"/>
    <mergeCell ref="AJ52:AK52"/>
    <mergeCell ref="AP52:AQ52"/>
    <mergeCell ref="AR53:AW53"/>
    <mergeCell ref="AP49:AQ49"/>
    <mergeCell ref="B50:E51"/>
    <mergeCell ref="R50:S50"/>
    <mergeCell ref="X50:Y50"/>
    <mergeCell ref="AD50:AE50"/>
    <mergeCell ref="AJ50:AK50"/>
    <mergeCell ref="AP50:AQ50"/>
    <mergeCell ref="R51:S51"/>
    <mergeCell ref="X51:Y51"/>
    <mergeCell ref="AD51:AE51"/>
    <mergeCell ref="B49:E49"/>
    <mergeCell ref="F49:G49"/>
    <mergeCell ref="R49:S49"/>
    <mergeCell ref="X49:Y49"/>
    <mergeCell ref="AD49:AE49"/>
    <mergeCell ref="AJ49:AK49"/>
    <mergeCell ref="AJ51:AK51"/>
    <mergeCell ref="AP51:AQ51"/>
    <mergeCell ref="AJ48:AK48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R47:AT47"/>
    <mergeCell ref="AV47:AW47"/>
    <mergeCell ref="AX47:AZ47"/>
    <mergeCell ref="BB47:BC47"/>
    <mergeCell ref="BD47:BF47"/>
    <mergeCell ref="BH47:BI47"/>
    <mergeCell ref="L47:M47"/>
    <mergeCell ref="R47:S47"/>
    <mergeCell ref="X47:Y47"/>
    <mergeCell ref="AD47:AE47"/>
    <mergeCell ref="AJ47:AK47"/>
    <mergeCell ref="AP47:AQ47"/>
    <mergeCell ref="B46:D46"/>
    <mergeCell ref="E46:F46"/>
    <mergeCell ref="G46:G47"/>
    <mergeCell ref="B47:D47"/>
    <mergeCell ref="E47:F47"/>
    <mergeCell ref="H47:J47"/>
    <mergeCell ref="Z43:AE43"/>
    <mergeCell ref="AF43:AK43"/>
    <mergeCell ref="AL43:AQ43"/>
    <mergeCell ref="AX43:BC43"/>
    <mergeCell ref="BD43:BI43"/>
    <mergeCell ref="AV42:AW42"/>
    <mergeCell ref="AX42:AZ42"/>
    <mergeCell ref="BB42:BC42"/>
    <mergeCell ref="BD42:BF42"/>
    <mergeCell ref="BH42:BI42"/>
    <mergeCell ref="B43:C43"/>
    <mergeCell ref="D43:E43"/>
    <mergeCell ref="H43:M43"/>
    <mergeCell ref="N43:S43"/>
    <mergeCell ref="T43:Y43"/>
    <mergeCell ref="B42:E42"/>
    <mergeCell ref="F42:G42"/>
    <mergeCell ref="L42:M42"/>
    <mergeCell ref="R42:S42"/>
    <mergeCell ref="X42:Y42"/>
    <mergeCell ref="AD42:AE42"/>
    <mergeCell ref="AJ42:AK42"/>
    <mergeCell ref="AP42:AQ42"/>
    <mergeCell ref="AR43:AW43"/>
    <mergeCell ref="AP39:AQ39"/>
    <mergeCell ref="B40:E41"/>
    <mergeCell ref="R40:S40"/>
    <mergeCell ref="X40:Y40"/>
    <mergeCell ref="AD40:AE40"/>
    <mergeCell ref="AJ40:AK40"/>
    <mergeCell ref="AP40:AQ40"/>
    <mergeCell ref="R41:S41"/>
    <mergeCell ref="X41:Y41"/>
    <mergeCell ref="AD41:AE41"/>
    <mergeCell ref="B39:E39"/>
    <mergeCell ref="F39:G39"/>
    <mergeCell ref="R39:S39"/>
    <mergeCell ref="X39:Y39"/>
    <mergeCell ref="AD39:AE39"/>
    <mergeCell ref="AJ39:AK39"/>
    <mergeCell ref="AJ41:AK41"/>
    <mergeCell ref="AP41:AQ41"/>
    <mergeCell ref="AJ38:AK38"/>
    <mergeCell ref="AP38:AQ38"/>
    <mergeCell ref="AR38:AW38"/>
    <mergeCell ref="AX38:BA38"/>
    <mergeCell ref="BB38:BC38"/>
    <mergeCell ref="BD38:BI38"/>
    <mergeCell ref="B38:D38"/>
    <mergeCell ref="E38:G38"/>
    <mergeCell ref="H38:M38"/>
    <mergeCell ref="R38:S38"/>
    <mergeCell ref="X38:Y38"/>
    <mergeCell ref="AD38:AE38"/>
    <mergeCell ref="AR37:AT37"/>
    <mergeCell ref="AV37:AW37"/>
    <mergeCell ref="AX37:AZ37"/>
    <mergeCell ref="BB37:BC37"/>
    <mergeCell ref="BD37:BF37"/>
    <mergeCell ref="BH37:BI37"/>
    <mergeCell ref="L37:M37"/>
    <mergeCell ref="R37:S37"/>
    <mergeCell ref="X37:Y37"/>
    <mergeCell ref="AD37:AE37"/>
    <mergeCell ref="AJ37:AK37"/>
    <mergeCell ref="AP37:AQ37"/>
    <mergeCell ref="B36:D36"/>
    <mergeCell ref="E36:F36"/>
    <mergeCell ref="G36:G37"/>
    <mergeCell ref="B37:D37"/>
    <mergeCell ref="E37:F37"/>
    <mergeCell ref="H37:J37"/>
    <mergeCell ref="Z33:AE33"/>
    <mergeCell ref="AF33:AK33"/>
    <mergeCell ref="AL33:AQ33"/>
    <mergeCell ref="AX33:BC33"/>
    <mergeCell ref="BD33:BI33"/>
    <mergeCell ref="AV32:AW32"/>
    <mergeCell ref="AX32:AZ32"/>
    <mergeCell ref="BB32:BC32"/>
    <mergeCell ref="BD32:BF32"/>
    <mergeCell ref="BH32:BI32"/>
    <mergeCell ref="B33:C33"/>
    <mergeCell ref="D33:E33"/>
    <mergeCell ref="H33:M33"/>
    <mergeCell ref="N33:S33"/>
    <mergeCell ref="T33:Y33"/>
    <mergeCell ref="B32:E32"/>
    <mergeCell ref="F32:G32"/>
    <mergeCell ref="L32:M32"/>
    <mergeCell ref="R32:S32"/>
    <mergeCell ref="X32:Y32"/>
    <mergeCell ref="AD32:AE32"/>
    <mergeCell ref="AJ32:AK32"/>
    <mergeCell ref="AP32:AQ32"/>
    <mergeCell ref="AR33:AW33"/>
    <mergeCell ref="AP29:AQ29"/>
    <mergeCell ref="B30:E31"/>
    <mergeCell ref="R30:S30"/>
    <mergeCell ref="X30:Y30"/>
    <mergeCell ref="AD30:AE30"/>
    <mergeCell ref="AJ30:AK30"/>
    <mergeCell ref="AP30:AQ30"/>
    <mergeCell ref="R31:S31"/>
    <mergeCell ref="X31:Y31"/>
    <mergeCell ref="AD31:AE31"/>
    <mergeCell ref="B29:E29"/>
    <mergeCell ref="F29:G29"/>
    <mergeCell ref="R29:S29"/>
    <mergeCell ref="X29:Y29"/>
    <mergeCell ref="AD29:AE29"/>
    <mergeCell ref="AJ29:AK29"/>
    <mergeCell ref="AJ31:AK31"/>
    <mergeCell ref="AP31:AQ31"/>
    <mergeCell ref="AJ28:AK28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R27:AT27"/>
    <mergeCell ref="AV27:AW27"/>
    <mergeCell ref="AX27:AZ27"/>
    <mergeCell ref="BB27:BC27"/>
    <mergeCell ref="BD27:BF27"/>
    <mergeCell ref="BH27:BI27"/>
    <mergeCell ref="L27:M27"/>
    <mergeCell ref="R27:S27"/>
    <mergeCell ref="X27:Y27"/>
    <mergeCell ref="AD27:AE27"/>
    <mergeCell ref="AJ27:AK27"/>
    <mergeCell ref="AP27:AQ27"/>
    <mergeCell ref="B26:D26"/>
    <mergeCell ref="E26:F26"/>
    <mergeCell ref="G26:G27"/>
    <mergeCell ref="B27:D27"/>
    <mergeCell ref="E27:F27"/>
    <mergeCell ref="H27:J27"/>
    <mergeCell ref="Z23:AE23"/>
    <mergeCell ref="AF23:AK23"/>
    <mergeCell ref="AL23:AQ23"/>
    <mergeCell ref="AX23:BC23"/>
    <mergeCell ref="BD23:BI23"/>
    <mergeCell ref="AV22:AW22"/>
    <mergeCell ref="AX22:AZ22"/>
    <mergeCell ref="BB22:BC22"/>
    <mergeCell ref="BD22:BF22"/>
    <mergeCell ref="BH22:BI22"/>
    <mergeCell ref="B23:C23"/>
    <mergeCell ref="D23:E23"/>
    <mergeCell ref="H23:M23"/>
    <mergeCell ref="N23:S23"/>
    <mergeCell ref="T23:Y23"/>
    <mergeCell ref="B22:E22"/>
    <mergeCell ref="F22:G22"/>
    <mergeCell ref="L22:M22"/>
    <mergeCell ref="R22:S22"/>
    <mergeCell ref="X22:Y22"/>
    <mergeCell ref="AD22:AE22"/>
    <mergeCell ref="AJ22:AK22"/>
    <mergeCell ref="AP22:AQ22"/>
    <mergeCell ref="AR23:AW23"/>
    <mergeCell ref="AP19:AQ19"/>
    <mergeCell ref="B20:E21"/>
    <mergeCell ref="R20:S20"/>
    <mergeCell ref="X20:Y20"/>
    <mergeCell ref="AD20:AE20"/>
    <mergeCell ref="AJ20:AK20"/>
    <mergeCell ref="AP20:AQ20"/>
    <mergeCell ref="R21:S21"/>
    <mergeCell ref="X21:Y21"/>
    <mergeCell ref="AD21:AE21"/>
    <mergeCell ref="B19:E19"/>
    <mergeCell ref="F19:G19"/>
    <mergeCell ref="R19:S19"/>
    <mergeCell ref="X19:Y19"/>
    <mergeCell ref="AD19:AE19"/>
    <mergeCell ref="AJ19:AK19"/>
    <mergeCell ref="AJ21:AK21"/>
    <mergeCell ref="AP21:AQ21"/>
    <mergeCell ref="AJ18:AK18"/>
    <mergeCell ref="AP18:AQ18"/>
    <mergeCell ref="AR18:AW18"/>
    <mergeCell ref="AX18:BA18"/>
    <mergeCell ref="BB18:BC18"/>
    <mergeCell ref="BD18:BI18"/>
    <mergeCell ref="B18:D18"/>
    <mergeCell ref="E18:G18"/>
    <mergeCell ref="H18:M18"/>
    <mergeCell ref="R18:S18"/>
    <mergeCell ref="X18:Y18"/>
    <mergeCell ref="AD18:AE18"/>
    <mergeCell ref="AR17:AT17"/>
    <mergeCell ref="AV17:AW17"/>
    <mergeCell ref="AX17:AZ17"/>
    <mergeCell ref="BB17:BC17"/>
    <mergeCell ref="BD17:BF17"/>
    <mergeCell ref="BH17:BI17"/>
    <mergeCell ref="L17:M17"/>
    <mergeCell ref="R17:S17"/>
    <mergeCell ref="X17:Y17"/>
    <mergeCell ref="AD17:AE17"/>
    <mergeCell ref="AJ17:AK17"/>
    <mergeCell ref="AP17:AQ17"/>
    <mergeCell ref="B16:D16"/>
    <mergeCell ref="E16:F16"/>
    <mergeCell ref="G16:G17"/>
    <mergeCell ref="B17:D17"/>
    <mergeCell ref="E17:F17"/>
    <mergeCell ref="H17:J17"/>
    <mergeCell ref="Z13:AE13"/>
    <mergeCell ref="AF13:AK13"/>
    <mergeCell ref="AL13:AQ13"/>
    <mergeCell ref="AX13:BC13"/>
    <mergeCell ref="BD13:BI13"/>
    <mergeCell ref="AV12:AW12"/>
    <mergeCell ref="AX12:AZ12"/>
    <mergeCell ref="BB12:BC12"/>
    <mergeCell ref="BD12:BF12"/>
    <mergeCell ref="BH12:BI12"/>
    <mergeCell ref="B13:C13"/>
    <mergeCell ref="D13:E13"/>
    <mergeCell ref="H13:M13"/>
    <mergeCell ref="N13:S13"/>
    <mergeCell ref="T13:Y13"/>
    <mergeCell ref="B12:E12"/>
    <mergeCell ref="F12:G12"/>
    <mergeCell ref="L12:M12"/>
    <mergeCell ref="R12:S12"/>
    <mergeCell ref="X12:Y12"/>
    <mergeCell ref="AD12:AE12"/>
    <mergeCell ref="AJ12:AK12"/>
    <mergeCell ref="AP12:AQ12"/>
    <mergeCell ref="AR13:AW13"/>
    <mergeCell ref="AP9:AQ9"/>
    <mergeCell ref="B10:E11"/>
    <mergeCell ref="R10:S10"/>
    <mergeCell ref="X10:Y10"/>
    <mergeCell ref="AD10:AE10"/>
    <mergeCell ref="AJ10:AK10"/>
    <mergeCell ref="AP10:AQ10"/>
    <mergeCell ref="R11:S11"/>
    <mergeCell ref="X11:Y11"/>
    <mergeCell ref="AD11:AE11"/>
    <mergeCell ref="B9:E9"/>
    <mergeCell ref="F9:G9"/>
    <mergeCell ref="R9:S9"/>
    <mergeCell ref="X9:Y9"/>
    <mergeCell ref="AD9:AE9"/>
    <mergeCell ref="AJ9:AK9"/>
    <mergeCell ref="AJ11:AK11"/>
    <mergeCell ref="AP11:AQ11"/>
    <mergeCell ref="AJ8:AK8"/>
    <mergeCell ref="AP8:AQ8"/>
    <mergeCell ref="AR8:AW8"/>
    <mergeCell ref="AX8:BA8"/>
    <mergeCell ref="BB8:BC8"/>
    <mergeCell ref="BD8:BI8"/>
    <mergeCell ref="B8:D8"/>
    <mergeCell ref="E8:G8"/>
    <mergeCell ref="H8:M8"/>
    <mergeCell ref="R8:S8"/>
    <mergeCell ref="X8:Y8"/>
    <mergeCell ref="AD8:AE8"/>
    <mergeCell ref="AR7:AT7"/>
    <mergeCell ref="AV7:AW7"/>
    <mergeCell ref="AX7:AZ7"/>
    <mergeCell ref="BB7:BC7"/>
    <mergeCell ref="BD7:BF7"/>
    <mergeCell ref="BH7:BI7"/>
    <mergeCell ref="L7:M7"/>
    <mergeCell ref="R7:S7"/>
    <mergeCell ref="X7:Y7"/>
    <mergeCell ref="AD7:AE7"/>
    <mergeCell ref="AJ7:AK7"/>
    <mergeCell ref="AP7:AQ7"/>
    <mergeCell ref="B6:D6"/>
    <mergeCell ref="E6:F6"/>
    <mergeCell ref="G6:G7"/>
    <mergeCell ref="B7:D7"/>
    <mergeCell ref="E7:F7"/>
    <mergeCell ref="H7:J7"/>
    <mergeCell ref="Z3:AE3"/>
    <mergeCell ref="AF3:AK3"/>
    <mergeCell ref="AL3:AQ3"/>
    <mergeCell ref="AR3:AW3"/>
    <mergeCell ref="AX3:BC3"/>
    <mergeCell ref="BD3:BI3"/>
    <mergeCell ref="AF1:AK2"/>
    <mergeCell ref="AL1:AQ2"/>
    <mergeCell ref="AR1:BC2"/>
    <mergeCell ref="BD1:BI2"/>
    <mergeCell ref="B2:E2"/>
    <mergeCell ref="B3:C3"/>
    <mergeCell ref="D3:E3"/>
    <mergeCell ref="H3:M3"/>
    <mergeCell ref="N3:S3"/>
    <mergeCell ref="T3:Y3"/>
    <mergeCell ref="B1:C1"/>
    <mergeCell ref="D1:E1"/>
    <mergeCell ref="H1:M2"/>
    <mergeCell ref="N1:S2"/>
    <mergeCell ref="T1:Y2"/>
    <mergeCell ref="Z1:AE2"/>
  </mergeCells>
  <conditionalFormatting sqref="Z3:AE3 Z13:AE13 Z23:AE23 Z33:AE33 Z43:AE43 Z53:AE53 Z63:AE63">
    <cfRule type="notContainsBlanks" dxfId="1" priority="1">
      <formula>LEN(TRIM(Z3))&gt;0</formula>
    </cfRule>
  </conditionalFormatting>
  <conditionalFormatting sqref="H7 N7:AQ12 H12 H17:AQ22 H27:AQ32 H37:AQ42 H47:AQ52 H57:AQ62 H67:AQ72">
    <cfRule type="cellIs" dxfId="0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872B28B6-F7BE-4391-8767-65CE476213C8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48DB1217-2211-416C-9E4F-3B0D0B81350B}">
          <x14:formula1>
            <xm:f>Friteuse!$A$2:$A$200</xm:f>
          </x14:formula1>
          <xm:sqref>N3 N13 N23 N33 N43 N53 N63</xm:sqref>
        </x14:dataValidation>
        <x14:dataValidation type="list" allowBlank="1" showErrorMessage="1" xr:uid="{51CEE4B9-CB0B-47D4-B563-06B526E9E530}">
          <x14:formula1>
            <xm:f>Wok!$A$1:$A$210</xm:f>
          </x14:formula1>
          <xm:sqref>T3 T63 T53 T43 T33 T23 T13</xm:sqref>
        </x14:dataValidation>
        <x14:dataValidation type="list" allowBlank="1" showErrorMessage="1" xr:uid="{D7FDB5D0-304B-41C2-82DA-07B0F8B01F0F}">
          <x14:formula1>
            <xm:f>Poele!$A$2:$A$209</xm:f>
          </x14:formula1>
          <xm:sqref>Z3 Z13 Z23 Z33 Z43 Z53 Z63</xm:sqref>
        </x14:dataValidation>
        <x14:dataValidation type="list" allowBlank="1" showErrorMessage="1" xr:uid="{175A1C13-BA4B-4E5A-B9B8-49FC14BEB914}">
          <x14:formula1>
            <xm:f>Four!$A$1:$A$217</xm:f>
          </x14:formula1>
          <xm:sqref>AF3 AL63 AF63 AL53 AL43 AF43 AL23 AF23 AL13 AF13 AL3</xm:sqref>
        </x14:dataValidation>
        <x14:dataValidation type="list" allowBlank="1" showErrorMessage="1" xr:uid="{5C35052A-03BC-41F4-BF0E-D2E8B073CA3F}">
          <x14:formula1>
            <xm:f>Four!$A$1:$A$77</xm:f>
          </x14:formula1>
          <xm:sqref>AF53</xm:sqref>
        </x14:dataValidation>
        <x14:dataValidation type="list" allowBlank="1" showErrorMessage="1" xr:uid="{88F6BC06-0567-426D-AB41-ACC71AE34554}">
          <x14:formula1>
            <xm:f>Four!$A$1:$A$109</xm:f>
          </x14:formula1>
          <xm:sqref>AF33 AL33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outlinePr summaryBelow="0" summaryRight="0"/>
  </sheetPr>
  <dimension ref="A1:R66"/>
  <sheetViews>
    <sheetView topLeftCell="A24" zoomScale="85" zoomScaleNormal="85" workbookViewId="0">
      <selection activeCell="C67" sqref="C67"/>
    </sheetView>
  </sheetViews>
  <sheetFormatPr baseColWidth="10" defaultColWidth="14.42578125" defaultRowHeight="15" customHeight="1"/>
  <cols>
    <col min="1" max="1" width="36.85546875" customWidth="1"/>
    <col min="19" max="19" width="14.140625" customWidth="1"/>
  </cols>
  <sheetData>
    <row r="1" spans="1:14">
      <c r="A1" s="140" t="s">
        <v>260</v>
      </c>
      <c r="B1" s="132" t="s">
        <v>305</v>
      </c>
      <c r="C1" s="133">
        <v>0.95</v>
      </c>
      <c r="D1" s="132" t="s">
        <v>306</v>
      </c>
      <c r="E1" s="132">
        <v>0.05</v>
      </c>
      <c r="F1" s="132"/>
      <c r="G1" s="132"/>
      <c r="H1" s="132"/>
      <c r="I1" s="132"/>
      <c r="J1" s="132"/>
      <c r="K1" s="132"/>
      <c r="L1" s="132"/>
      <c r="M1" s="132"/>
      <c r="N1" s="134">
        <f t="shared" ref="N1:N27" si="0">M1+K1+I1+G1+E1+C1</f>
        <v>1</v>
      </c>
    </row>
    <row r="2" spans="1:14">
      <c r="A2" s="140" t="s">
        <v>238</v>
      </c>
      <c r="B2" s="132" t="s">
        <v>307</v>
      </c>
      <c r="C2" s="133">
        <v>0.55000000000000004</v>
      </c>
      <c r="D2" s="132" t="s">
        <v>308</v>
      </c>
      <c r="E2" s="132">
        <v>0.12</v>
      </c>
      <c r="F2" s="132" t="s">
        <v>309</v>
      </c>
      <c r="G2" s="132">
        <v>0.09</v>
      </c>
      <c r="H2" s="132" t="s">
        <v>310</v>
      </c>
      <c r="I2" s="132">
        <v>0.09</v>
      </c>
      <c r="J2" s="132" t="s">
        <v>311</v>
      </c>
      <c r="K2" s="132">
        <v>0.15</v>
      </c>
      <c r="L2" s="132"/>
      <c r="M2" s="132"/>
      <c r="N2" s="134">
        <f t="shared" si="0"/>
        <v>1</v>
      </c>
    </row>
    <row r="3" spans="1:14">
      <c r="A3" s="405" t="s">
        <v>182</v>
      </c>
      <c r="B3" s="135"/>
      <c r="C3" s="135"/>
      <c r="D3" s="373"/>
      <c r="E3" s="374"/>
      <c r="F3" s="135"/>
      <c r="G3" s="135"/>
      <c r="H3" s="135"/>
      <c r="I3" s="135"/>
      <c r="J3" s="135"/>
      <c r="K3" s="135"/>
      <c r="L3" s="135"/>
      <c r="M3" s="135"/>
      <c r="N3" s="134">
        <f t="shared" si="0"/>
        <v>0</v>
      </c>
    </row>
    <row r="4" spans="1:14">
      <c r="A4" s="394" t="s">
        <v>295</v>
      </c>
      <c r="B4" s="134" t="s">
        <v>312</v>
      </c>
      <c r="C4" s="135">
        <v>0.68</v>
      </c>
      <c r="D4" s="373" t="s">
        <v>313</v>
      </c>
      <c r="E4" s="374">
        <v>0.14000000000000001</v>
      </c>
      <c r="F4" s="135" t="s">
        <v>61</v>
      </c>
      <c r="G4" s="135">
        <v>0.1</v>
      </c>
      <c r="H4" s="135" t="s">
        <v>314</v>
      </c>
      <c r="I4" s="135">
        <v>0.05</v>
      </c>
      <c r="J4" s="135" t="s">
        <v>315</v>
      </c>
      <c r="K4" s="135">
        <v>0.03</v>
      </c>
      <c r="L4" s="135" t="s">
        <v>316</v>
      </c>
      <c r="M4" s="135"/>
      <c r="N4" s="134">
        <f t="shared" si="0"/>
        <v>1</v>
      </c>
    </row>
    <row r="5" spans="1:14">
      <c r="A5" s="394" t="s">
        <v>202</v>
      </c>
      <c r="B5" s="134" t="s">
        <v>312</v>
      </c>
      <c r="C5" s="134">
        <v>0.68</v>
      </c>
      <c r="D5" s="134" t="s">
        <v>317</v>
      </c>
      <c r="E5" s="134">
        <v>0.14000000000000001</v>
      </c>
      <c r="F5" s="134" t="s">
        <v>318</v>
      </c>
      <c r="G5" s="134">
        <v>0.17</v>
      </c>
      <c r="H5" s="134" t="s">
        <v>315</v>
      </c>
      <c r="I5" s="134">
        <v>0.01</v>
      </c>
      <c r="J5" s="134" t="s">
        <v>319</v>
      </c>
      <c r="K5" s="134"/>
      <c r="L5" s="134" t="s">
        <v>320</v>
      </c>
      <c r="M5" s="134"/>
      <c r="N5" s="134">
        <f t="shared" si="0"/>
        <v>1</v>
      </c>
    </row>
    <row r="6" spans="1:14" ht="15.75" thickBot="1">
      <c r="A6" s="394" t="s">
        <v>218</v>
      </c>
      <c r="B6" s="134" t="s">
        <v>312</v>
      </c>
      <c r="C6" s="134">
        <v>0.65</v>
      </c>
      <c r="D6" s="134" t="s">
        <v>53</v>
      </c>
      <c r="E6" s="134">
        <v>0.15</v>
      </c>
      <c r="F6" s="134" t="s">
        <v>321</v>
      </c>
      <c r="G6" s="134">
        <v>1E-3</v>
      </c>
      <c r="H6" s="134" t="s">
        <v>322</v>
      </c>
      <c r="I6" s="134">
        <v>0.2</v>
      </c>
      <c r="J6" s="134" t="s">
        <v>323</v>
      </c>
      <c r="K6" s="134"/>
      <c r="L6" s="134" t="s">
        <v>324</v>
      </c>
      <c r="M6" s="134"/>
      <c r="N6" s="134">
        <f t="shared" si="0"/>
        <v>1.0009999999999999</v>
      </c>
    </row>
    <row r="7" spans="1:14" ht="15.75" thickBot="1">
      <c r="A7" s="402" t="s">
        <v>700</v>
      </c>
      <c r="B7" s="403" t="s">
        <v>541</v>
      </c>
      <c r="C7" s="134">
        <v>0.9</v>
      </c>
      <c r="D7" s="134" t="s">
        <v>53</v>
      </c>
      <c r="E7" s="134">
        <v>0.1</v>
      </c>
      <c r="F7" s="134"/>
      <c r="G7" s="134"/>
      <c r="H7" s="134"/>
      <c r="I7" s="134"/>
      <c r="J7" s="134"/>
      <c r="K7" s="134"/>
      <c r="L7" s="134"/>
      <c r="M7" s="134"/>
      <c r="N7" s="134">
        <f t="shared" si="0"/>
        <v>1</v>
      </c>
    </row>
    <row r="8" spans="1:14" ht="15.75" thickBot="1">
      <c r="A8" s="397" t="s">
        <v>191</v>
      </c>
      <c r="B8" s="132" t="s">
        <v>61</v>
      </c>
      <c r="C8" s="133">
        <v>0.6</v>
      </c>
      <c r="D8" s="132" t="s">
        <v>325</v>
      </c>
      <c r="E8" s="132">
        <v>1.4999999999999999E-2</v>
      </c>
      <c r="F8" s="132" t="s">
        <v>326</v>
      </c>
      <c r="G8" s="132">
        <v>0.2</v>
      </c>
      <c r="H8" s="132" t="s">
        <v>327</v>
      </c>
      <c r="I8" s="132">
        <v>7.4999999999999997E-2</v>
      </c>
      <c r="J8" s="132" t="s">
        <v>328</v>
      </c>
      <c r="K8" s="132">
        <v>0.01</v>
      </c>
      <c r="L8" s="132" t="s">
        <v>329</v>
      </c>
      <c r="M8" s="132">
        <v>0.1</v>
      </c>
      <c r="N8" s="134">
        <f t="shared" si="0"/>
        <v>1</v>
      </c>
    </row>
    <row r="9" spans="1:14">
      <c r="A9" s="395" t="s">
        <v>193</v>
      </c>
      <c r="B9" s="135" t="s">
        <v>67</v>
      </c>
      <c r="C9" s="135"/>
      <c r="D9" s="135" t="s">
        <v>330</v>
      </c>
      <c r="E9" s="135"/>
      <c r="F9" s="135"/>
      <c r="G9" s="135"/>
      <c r="H9" s="135"/>
      <c r="I9" s="135"/>
      <c r="J9" s="135"/>
      <c r="K9" s="135"/>
      <c r="L9" s="135"/>
      <c r="M9" s="135"/>
      <c r="N9" s="134">
        <f t="shared" si="0"/>
        <v>0</v>
      </c>
    </row>
    <row r="10" spans="1:14">
      <c r="A10" s="416" t="s">
        <v>152</v>
      </c>
      <c r="B10" s="132" t="s">
        <v>331</v>
      </c>
      <c r="C10" s="133">
        <v>0.8</v>
      </c>
      <c r="D10" s="132" t="s">
        <v>332</v>
      </c>
      <c r="E10" s="133">
        <v>0.1</v>
      </c>
      <c r="F10" s="132" t="s">
        <v>135</v>
      </c>
      <c r="G10" s="133">
        <v>0.05</v>
      </c>
      <c r="H10" s="132" t="s">
        <v>330</v>
      </c>
      <c r="I10" s="133">
        <v>0.05</v>
      </c>
      <c r="J10" s="132"/>
      <c r="K10" s="132"/>
      <c r="L10" s="132"/>
      <c r="M10" s="132"/>
      <c r="N10" s="134">
        <f t="shared" si="0"/>
        <v>1</v>
      </c>
    </row>
    <row r="11" spans="1:14">
      <c r="A11" s="137" t="s">
        <v>251</v>
      </c>
      <c r="B11" s="135" t="s">
        <v>333</v>
      </c>
      <c r="C11" s="135">
        <v>0.75</v>
      </c>
      <c r="D11" s="135" t="s">
        <v>334</v>
      </c>
      <c r="E11" s="135">
        <v>0.01</v>
      </c>
      <c r="F11" s="135" t="s">
        <v>335</v>
      </c>
      <c r="G11" s="135">
        <v>0.1</v>
      </c>
      <c r="H11" s="135" t="s">
        <v>336</v>
      </c>
      <c r="I11" s="135">
        <v>0.14000000000000001</v>
      </c>
      <c r="J11" s="135"/>
      <c r="K11" s="135"/>
      <c r="L11" s="135"/>
      <c r="M11" s="135"/>
      <c r="N11" s="134">
        <f t="shared" si="0"/>
        <v>1</v>
      </c>
    </row>
    <row r="12" spans="1:14">
      <c r="A12" s="405" t="s">
        <v>186</v>
      </c>
      <c r="B12" s="135" t="s">
        <v>186</v>
      </c>
      <c r="C12" s="135"/>
      <c r="D12" s="135" t="s">
        <v>337</v>
      </c>
      <c r="E12" s="135"/>
      <c r="F12" s="135" t="s">
        <v>338</v>
      </c>
      <c r="G12" s="135"/>
      <c r="H12" s="135"/>
      <c r="I12" s="135"/>
      <c r="J12" s="135"/>
      <c r="K12" s="135"/>
      <c r="L12" s="135"/>
      <c r="M12" s="135"/>
      <c r="N12" s="134">
        <f t="shared" si="0"/>
        <v>0</v>
      </c>
    </row>
    <row r="13" spans="1:14">
      <c r="A13" s="397" t="s">
        <v>339</v>
      </c>
      <c r="B13" s="132" t="s">
        <v>340</v>
      </c>
      <c r="C13" s="133">
        <v>0.5</v>
      </c>
      <c r="D13" s="132" t="s">
        <v>341</v>
      </c>
      <c r="E13" s="133">
        <v>0.4</v>
      </c>
      <c r="F13" s="132" t="s">
        <v>342</v>
      </c>
      <c r="G13" s="133">
        <v>0.1</v>
      </c>
      <c r="H13" s="132"/>
      <c r="I13" s="132"/>
      <c r="J13" s="132"/>
      <c r="K13" s="132"/>
      <c r="L13" s="132"/>
      <c r="M13" s="132"/>
      <c r="N13" s="134">
        <f t="shared" si="0"/>
        <v>1</v>
      </c>
    </row>
    <row r="14" spans="1:14">
      <c r="A14" s="393" t="s">
        <v>294</v>
      </c>
      <c r="B14" s="132" t="s">
        <v>343</v>
      </c>
      <c r="C14" s="133">
        <v>0.5</v>
      </c>
      <c r="D14" s="132" t="s">
        <v>344</v>
      </c>
      <c r="E14" s="132">
        <v>0.24</v>
      </c>
      <c r="F14" s="132" t="s">
        <v>330</v>
      </c>
      <c r="G14" s="132">
        <v>0.24</v>
      </c>
      <c r="H14" s="132" t="s">
        <v>332</v>
      </c>
      <c r="I14" s="132">
        <v>0.02</v>
      </c>
      <c r="J14" s="132"/>
      <c r="K14" s="132"/>
      <c r="L14" s="132"/>
      <c r="M14" s="132"/>
      <c r="N14" s="134">
        <f t="shared" si="0"/>
        <v>1</v>
      </c>
    </row>
    <row r="15" spans="1:14">
      <c r="A15" s="393" t="s">
        <v>303</v>
      </c>
      <c r="B15" s="132" t="s">
        <v>345</v>
      </c>
      <c r="C15" s="133">
        <v>0.64</v>
      </c>
      <c r="D15" s="132" t="s">
        <v>346</v>
      </c>
      <c r="E15" s="132">
        <v>0.36</v>
      </c>
      <c r="F15" s="132" t="s">
        <v>347</v>
      </c>
      <c r="G15" s="132"/>
      <c r="H15" s="132"/>
      <c r="I15" s="132"/>
      <c r="J15" s="132"/>
      <c r="K15" s="132"/>
      <c r="L15" s="132"/>
      <c r="M15" s="132"/>
      <c r="N15" s="134">
        <f t="shared" si="0"/>
        <v>1</v>
      </c>
    </row>
    <row r="16" spans="1:14">
      <c r="A16" s="138" t="s">
        <v>215</v>
      </c>
      <c r="B16" s="139" t="s">
        <v>348</v>
      </c>
      <c r="C16" s="139">
        <v>0.95</v>
      </c>
      <c r="D16" s="139" t="s">
        <v>309</v>
      </c>
      <c r="E16" s="139">
        <v>0.05</v>
      </c>
      <c r="F16" s="139" t="s">
        <v>347</v>
      </c>
      <c r="G16" s="139"/>
      <c r="H16" s="139"/>
      <c r="I16" s="139"/>
      <c r="J16" s="139"/>
      <c r="K16" s="139"/>
      <c r="L16" s="139"/>
      <c r="M16" s="139"/>
      <c r="N16" s="139">
        <f t="shared" si="0"/>
        <v>1</v>
      </c>
    </row>
    <row r="17" spans="1:18">
      <c r="A17" s="138" t="s">
        <v>262</v>
      </c>
      <c r="B17" s="134" t="s">
        <v>349</v>
      </c>
      <c r="C17" s="134">
        <v>0.73</v>
      </c>
      <c r="D17" s="134" t="s">
        <v>350</v>
      </c>
      <c r="E17" s="134">
        <v>0.19</v>
      </c>
      <c r="F17" s="134" t="s">
        <v>335</v>
      </c>
      <c r="G17" s="134">
        <v>0.08</v>
      </c>
      <c r="H17" s="134" t="s">
        <v>131</v>
      </c>
      <c r="I17" s="134"/>
      <c r="J17" s="134"/>
      <c r="K17" s="134"/>
      <c r="L17" s="134"/>
      <c r="M17" s="134"/>
      <c r="N17" s="135">
        <f t="shared" si="0"/>
        <v>1</v>
      </c>
    </row>
    <row r="18" spans="1:18">
      <c r="A18" s="417" t="s">
        <v>263</v>
      </c>
      <c r="B18" s="134" t="s">
        <v>74</v>
      </c>
      <c r="C18" s="134">
        <v>0.6</v>
      </c>
      <c r="D18" s="134" t="s">
        <v>63</v>
      </c>
      <c r="E18" s="134">
        <v>0.25</v>
      </c>
      <c r="F18" s="134" t="s">
        <v>351</v>
      </c>
      <c r="G18" s="134">
        <v>0.15</v>
      </c>
      <c r="H18" s="134"/>
      <c r="I18" s="134"/>
      <c r="J18" s="134"/>
      <c r="K18" s="134"/>
      <c r="L18" s="134"/>
      <c r="M18" s="134"/>
      <c r="N18" s="135">
        <f t="shared" si="0"/>
        <v>1</v>
      </c>
    </row>
    <row r="19" spans="1:18">
      <c r="A19" s="416" t="s">
        <v>210</v>
      </c>
      <c r="B19" s="134" t="s">
        <v>352</v>
      </c>
      <c r="C19" s="134">
        <v>0.85</v>
      </c>
      <c r="D19" s="134" t="s">
        <v>353</v>
      </c>
      <c r="E19" s="134">
        <v>0.15</v>
      </c>
      <c r="F19" s="134"/>
      <c r="G19" s="134"/>
      <c r="H19" s="134"/>
      <c r="I19" s="134"/>
      <c r="J19" s="134"/>
      <c r="K19" s="134"/>
      <c r="L19" s="134"/>
      <c r="M19" s="134"/>
      <c r="N19" s="134">
        <f t="shared" si="0"/>
        <v>1</v>
      </c>
    </row>
    <row r="20" spans="1:18">
      <c r="A20" s="140" t="s">
        <v>268</v>
      </c>
      <c r="B20" s="132" t="s">
        <v>354</v>
      </c>
      <c r="C20" s="133">
        <v>0.5</v>
      </c>
      <c r="D20" s="132" t="s">
        <v>355</v>
      </c>
      <c r="E20" s="132">
        <v>0.1</v>
      </c>
      <c r="F20" s="132" t="s">
        <v>61</v>
      </c>
      <c r="G20" s="132">
        <v>0.1</v>
      </c>
      <c r="H20" s="132" t="s">
        <v>70</v>
      </c>
      <c r="I20" s="132">
        <v>0.1</v>
      </c>
      <c r="J20" s="132" t="s">
        <v>356</v>
      </c>
      <c r="K20" s="132">
        <v>0.1</v>
      </c>
      <c r="L20" s="132" t="s">
        <v>357</v>
      </c>
      <c r="M20" s="132">
        <v>0.1</v>
      </c>
      <c r="N20" s="134">
        <f t="shared" si="0"/>
        <v>1</v>
      </c>
      <c r="Q20" s="54">
        <v>0.09</v>
      </c>
      <c r="R20" s="54" t="e">
        <f>(Q20/#REF!)*100</f>
        <v>#REF!</v>
      </c>
    </row>
    <row r="21" spans="1:18">
      <c r="A21" s="411" t="s">
        <v>718</v>
      </c>
      <c r="B21" s="134" t="s">
        <v>358</v>
      </c>
      <c r="C21" s="134">
        <v>0.5</v>
      </c>
      <c r="D21" s="134" t="s">
        <v>359</v>
      </c>
      <c r="E21" s="134">
        <v>0.1</v>
      </c>
      <c r="F21" s="134" t="s">
        <v>360</v>
      </c>
      <c r="G21" s="134">
        <v>0.2</v>
      </c>
      <c r="H21" s="134" t="s">
        <v>314</v>
      </c>
      <c r="I21" s="134">
        <v>0.2</v>
      </c>
      <c r="J21" s="134" t="s">
        <v>361</v>
      </c>
      <c r="K21" s="134">
        <v>0.2</v>
      </c>
      <c r="L21" s="134"/>
      <c r="M21" s="134"/>
      <c r="N21" s="134">
        <f t="shared" si="0"/>
        <v>1.2000000000000002</v>
      </c>
      <c r="Q21" s="54">
        <v>0.01</v>
      </c>
      <c r="R21" s="54" t="e">
        <f>(Q21/#REF!)*100</f>
        <v>#REF!</v>
      </c>
    </row>
    <row r="22" spans="1:18">
      <c r="A22" s="141" t="s">
        <v>256</v>
      </c>
      <c r="B22" s="142" t="s">
        <v>96</v>
      </c>
      <c r="C22" s="143">
        <v>0.7</v>
      </c>
      <c r="D22" s="142" t="s">
        <v>335</v>
      </c>
      <c r="E22" s="143">
        <v>0.1</v>
      </c>
      <c r="F22" s="142" t="s">
        <v>350</v>
      </c>
      <c r="G22" s="143">
        <v>0.15</v>
      </c>
      <c r="H22" s="142" t="s">
        <v>131</v>
      </c>
      <c r="I22" s="143">
        <v>0.05</v>
      </c>
      <c r="J22" s="142"/>
      <c r="K22" s="143"/>
      <c r="L22" s="142"/>
      <c r="M22" s="142"/>
      <c r="N22" s="134">
        <f t="shared" si="0"/>
        <v>1</v>
      </c>
      <c r="O22" s="144"/>
      <c r="P22" s="144"/>
      <c r="Q22" s="145">
        <v>2.5000000000000001E-2</v>
      </c>
      <c r="R22" s="54" t="e">
        <f>(Q22/#REF!)*100</f>
        <v>#REF!</v>
      </c>
    </row>
    <row r="23" spans="1:18">
      <c r="A23" s="141" t="s">
        <v>229</v>
      </c>
      <c r="B23" s="142" t="s">
        <v>96</v>
      </c>
      <c r="C23" s="143">
        <v>0.76</v>
      </c>
      <c r="D23" s="142" t="s">
        <v>362</v>
      </c>
      <c r="E23" s="143">
        <v>0.2</v>
      </c>
      <c r="F23" s="142" t="s">
        <v>323</v>
      </c>
      <c r="G23" s="143">
        <v>0.01</v>
      </c>
      <c r="H23" s="142" t="s">
        <v>325</v>
      </c>
      <c r="I23" s="143">
        <v>0.02</v>
      </c>
      <c r="J23" s="142" t="s">
        <v>363</v>
      </c>
      <c r="K23" s="143">
        <v>0.01</v>
      </c>
      <c r="L23" s="142"/>
      <c r="M23" s="142"/>
      <c r="N23" s="135">
        <f t="shared" si="0"/>
        <v>1</v>
      </c>
      <c r="O23" s="144"/>
      <c r="P23" s="144"/>
      <c r="Q23" s="145">
        <v>2.5000000000000001E-2</v>
      </c>
      <c r="R23" s="145" t="e">
        <f>(Q23/#REF!)*100</f>
        <v>#REF!</v>
      </c>
    </row>
    <row r="24" spans="1:18">
      <c r="A24" s="141" t="s">
        <v>207</v>
      </c>
      <c r="B24" s="134" t="s">
        <v>364</v>
      </c>
      <c r="C24" s="134"/>
      <c r="D24" s="134" t="s">
        <v>359</v>
      </c>
      <c r="E24" s="134"/>
      <c r="F24" s="134" t="s">
        <v>365</v>
      </c>
      <c r="G24" s="134"/>
      <c r="H24" s="134" t="s">
        <v>366</v>
      </c>
      <c r="I24" s="134"/>
      <c r="J24" s="134"/>
      <c r="K24" s="134"/>
      <c r="L24" s="134"/>
      <c r="M24" s="134"/>
      <c r="N24" s="134">
        <f t="shared" si="0"/>
        <v>0</v>
      </c>
      <c r="Q24" s="408">
        <v>5.0000000000000001E-3</v>
      </c>
      <c r="R24" s="54" t="e">
        <f>(Q24/#REF!)*100</f>
        <v>#REF!</v>
      </c>
    </row>
    <row r="25" spans="1:18">
      <c r="A25" s="141" t="s">
        <v>162</v>
      </c>
      <c r="B25" s="142" t="s">
        <v>134</v>
      </c>
      <c r="C25" s="143">
        <v>0.7</v>
      </c>
      <c r="D25" s="142" t="s">
        <v>135</v>
      </c>
      <c r="E25" s="143">
        <v>0.13</v>
      </c>
      <c r="F25" s="142" t="s">
        <v>367</v>
      </c>
      <c r="G25" s="146">
        <v>0.05</v>
      </c>
      <c r="H25" s="147" t="s">
        <v>368</v>
      </c>
      <c r="I25" s="146">
        <v>0.12</v>
      </c>
      <c r="J25" s="147"/>
      <c r="K25" s="147"/>
      <c r="L25" s="147"/>
      <c r="M25" s="147"/>
      <c r="N25" s="148">
        <f t="shared" si="0"/>
        <v>1</v>
      </c>
      <c r="O25" s="144"/>
      <c r="P25" s="144"/>
      <c r="Q25" s="145">
        <v>0.01</v>
      </c>
      <c r="R25" s="145" t="e">
        <f>(Q25/#REF!)*100</f>
        <v>#REF!</v>
      </c>
    </row>
    <row r="26" spans="1:18" ht="15.75" thickBot="1">
      <c r="A26" s="393" t="s">
        <v>287</v>
      </c>
      <c r="B26" s="142" t="s">
        <v>369</v>
      </c>
      <c r="C26" s="143"/>
      <c r="D26" s="142" t="s">
        <v>370</v>
      </c>
      <c r="E26" s="143"/>
      <c r="F26" s="142" t="s">
        <v>371</v>
      </c>
      <c r="G26" s="146"/>
      <c r="H26" s="147"/>
      <c r="I26" s="146"/>
      <c r="J26" s="147"/>
      <c r="K26" s="147"/>
      <c r="L26" s="147"/>
      <c r="M26" s="147"/>
      <c r="N26" s="148"/>
      <c r="O26" s="144"/>
      <c r="P26" s="144"/>
      <c r="Q26" s="145"/>
      <c r="R26" s="145"/>
    </row>
    <row r="27" spans="1:18" ht="15.75" thickBot="1">
      <c r="A27" s="142" t="s">
        <v>372</v>
      </c>
      <c r="B27" s="149" t="s">
        <v>373</v>
      </c>
      <c r="C27" s="150">
        <v>0.7</v>
      </c>
      <c r="D27" s="150" t="s">
        <v>310</v>
      </c>
      <c r="E27" s="150">
        <v>0.08</v>
      </c>
      <c r="F27" s="142" t="s">
        <v>374</v>
      </c>
      <c r="G27" s="143">
        <v>0.14000000000000001</v>
      </c>
      <c r="H27" s="142" t="s">
        <v>375</v>
      </c>
      <c r="I27" s="143">
        <v>0.06</v>
      </c>
      <c r="J27" s="142" t="s">
        <v>376</v>
      </c>
      <c r="K27" s="143">
        <v>0.02</v>
      </c>
      <c r="L27" s="142"/>
      <c r="M27" s="142"/>
      <c r="N27" s="135">
        <f t="shared" si="0"/>
        <v>1</v>
      </c>
      <c r="O27" s="144"/>
      <c r="P27" s="144"/>
      <c r="Q27" s="144"/>
      <c r="R27" s="144"/>
    </row>
    <row r="28" spans="1:18">
      <c r="A28" s="416" t="s">
        <v>258</v>
      </c>
      <c r="B28" s="132" t="s">
        <v>352</v>
      </c>
      <c r="C28" s="133">
        <v>0</v>
      </c>
      <c r="D28" s="132" t="s">
        <v>377</v>
      </c>
      <c r="E28" s="133"/>
      <c r="F28" s="132" t="s">
        <v>378</v>
      </c>
      <c r="G28" s="133"/>
      <c r="H28" s="132" t="s">
        <v>379</v>
      </c>
      <c r="I28" s="132"/>
      <c r="J28" s="132" t="s">
        <v>380</v>
      </c>
      <c r="K28" s="132"/>
      <c r="L28" s="132"/>
      <c r="M28" s="132"/>
      <c r="N28" s="134"/>
      <c r="O28" s="136"/>
      <c r="P28" s="136"/>
      <c r="Q28" s="136"/>
      <c r="R28" s="136"/>
    </row>
    <row r="29" spans="1:18">
      <c r="A29" s="416" t="s">
        <v>381</v>
      </c>
      <c r="B29" s="132"/>
      <c r="C29" s="133"/>
      <c r="D29" s="132"/>
      <c r="E29" s="133"/>
      <c r="F29" s="132"/>
      <c r="G29" s="133"/>
      <c r="H29" s="132"/>
      <c r="I29" s="132"/>
      <c r="J29" s="132"/>
      <c r="K29" s="132"/>
      <c r="L29" s="132"/>
      <c r="M29" s="132"/>
      <c r="N29" s="134">
        <f t="shared" ref="N29:N37" si="1">M29+K29+I29+G29+E29+C29</f>
        <v>0</v>
      </c>
      <c r="O29" s="136"/>
      <c r="P29" s="136"/>
      <c r="Q29" s="136"/>
      <c r="R29" s="136"/>
    </row>
    <row r="30" spans="1:18">
      <c r="A30" s="416" t="s">
        <v>247</v>
      </c>
      <c r="B30" s="132"/>
      <c r="C30" s="133"/>
      <c r="D30" s="132"/>
      <c r="E30" s="133"/>
      <c r="F30" s="132"/>
      <c r="G30" s="132"/>
      <c r="H30" s="132"/>
      <c r="I30" s="132"/>
      <c r="J30" s="132"/>
      <c r="K30" s="132"/>
      <c r="L30" s="132"/>
      <c r="M30" s="132"/>
      <c r="N30" s="134">
        <f t="shared" si="1"/>
        <v>0</v>
      </c>
      <c r="O30" s="136"/>
      <c r="P30" s="136"/>
      <c r="Q30" s="136"/>
      <c r="R30" s="136"/>
    </row>
    <row r="31" spans="1:18">
      <c r="A31" s="132" t="s">
        <v>304</v>
      </c>
      <c r="B31" s="132" t="s">
        <v>382</v>
      </c>
      <c r="C31" s="133">
        <v>0.46</v>
      </c>
      <c r="D31" s="132" t="s">
        <v>356</v>
      </c>
      <c r="E31" s="133">
        <v>0.12</v>
      </c>
      <c r="F31" s="132" t="s">
        <v>58</v>
      </c>
      <c r="G31" s="132">
        <v>0.23</v>
      </c>
      <c r="H31" s="132" t="s">
        <v>65</v>
      </c>
      <c r="I31" s="132">
        <v>0.03</v>
      </c>
      <c r="J31" s="132" t="s">
        <v>383</v>
      </c>
      <c r="K31" s="132">
        <v>0.15</v>
      </c>
      <c r="L31" s="132" t="s">
        <v>384</v>
      </c>
      <c r="M31" s="132">
        <v>0.01</v>
      </c>
      <c r="N31" s="134">
        <f t="shared" si="1"/>
        <v>1</v>
      </c>
      <c r="O31" s="136"/>
      <c r="P31" s="136"/>
      <c r="Q31" s="136"/>
      <c r="R31" s="136"/>
    </row>
    <row r="32" spans="1:18">
      <c r="A32" s="411" t="s">
        <v>231</v>
      </c>
      <c r="B32" s="134" t="s">
        <v>385</v>
      </c>
      <c r="C32" s="134">
        <v>0.6</v>
      </c>
      <c r="D32" s="134" t="s">
        <v>309</v>
      </c>
      <c r="E32" s="134">
        <v>0.15</v>
      </c>
      <c r="F32" s="134" t="s">
        <v>310</v>
      </c>
      <c r="G32" s="134">
        <v>0.15</v>
      </c>
      <c r="H32" s="134" t="s">
        <v>131</v>
      </c>
      <c r="I32" s="134">
        <v>0.1</v>
      </c>
      <c r="J32" s="134"/>
      <c r="K32" s="134"/>
      <c r="L32" s="134"/>
      <c r="M32" s="134"/>
      <c r="N32" s="134">
        <f t="shared" si="1"/>
        <v>1</v>
      </c>
    </row>
    <row r="33" spans="1:14">
      <c r="A33" s="411" t="s">
        <v>220</v>
      </c>
      <c r="B33" s="134" t="s">
        <v>385</v>
      </c>
      <c r="C33" s="134">
        <v>0.6</v>
      </c>
      <c r="D33" s="134" t="s">
        <v>386</v>
      </c>
      <c r="E33" s="134">
        <v>0.2</v>
      </c>
      <c r="F33" s="134" t="s">
        <v>387</v>
      </c>
      <c r="G33" s="134">
        <v>0.1</v>
      </c>
      <c r="H33" s="134" t="s">
        <v>310</v>
      </c>
      <c r="I33" s="134">
        <v>0.1</v>
      </c>
      <c r="J33" s="134"/>
      <c r="K33" s="134"/>
      <c r="L33" s="134"/>
      <c r="M33" s="134"/>
      <c r="N33" s="134">
        <f t="shared" si="1"/>
        <v>1</v>
      </c>
    </row>
    <row r="34" spans="1:14">
      <c r="A34" s="132" t="s">
        <v>225</v>
      </c>
      <c r="B34" s="132" t="s">
        <v>368</v>
      </c>
      <c r="C34" s="133">
        <v>0.6</v>
      </c>
      <c r="D34" s="132" t="s">
        <v>388</v>
      </c>
      <c r="E34" s="132">
        <v>0.3</v>
      </c>
      <c r="F34" s="132" t="s">
        <v>330</v>
      </c>
      <c r="G34" s="132">
        <v>0.1</v>
      </c>
      <c r="H34" s="132"/>
      <c r="I34" s="132"/>
      <c r="J34" s="132"/>
      <c r="K34" s="132"/>
      <c r="L34" s="132"/>
      <c r="M34" s="132"/>
      <c r="N34" s="134">
        <f t="shared" si="1"/>
        <v>1</v>
      </c>
    </row>
    <row r="35" spans="1:14">
      <c r="A35" s="132" t="s">
        <v>389</v>
      </c>
      <c r="B35" s="132" t="s">
        <v>368</v>
      </c>
      <c r="C35" s="133">
        <v>0.5</v>
      </c>
      <c r="D35" s="132" t="s">
        <v>105</v>
      </c>
      <c r="E35" s="132">
        <v>0.2</v>
      </c>
      <c r="F35" s="132" t="s">
        <v>390</v>
      </c>
      <c r="G35" s="132">
        <v>0.25</v>
      </c>
      <c r="H35" s="132" t="s">
        <v>53</v>
      </c>
      <c r="I35" s="132">
        <v>0.05</v>
      </c>
      <c r="J35" s="132"/>
      <c r="K35" s="132"/>
      <c r="L35" s="132"/>
      <c r="M35" s="132"/>
      <c r="N35" s="134">
        <f t="shared" si="1"/>
        <v>1</v>
      </c>
    </row>
    <row r="36" spans="1:14" ht="15.75" thickBot="1">
      <c r="A36" s="397" t="s">
        <v>280</v>
      </c>
      <c r="B36" s="132" t="s">
        <v>391</v>
      </c>
      <c r="C36" s="133">
        <v>0.45</v>
      </c>
      <c r="D36" s="132" t="s">
        <v>61</v>
      </c>
      <c r="E36" s="132">
        <v>0.45</v>
      </c>
      <c r="F36" s="132" t="s">
        <v>328</v>
      </c>
      <c r="G36" s="132">
        <v>0.01</v>
      </c>
      <c r="H36" s="132" t="s">
        <v>392</v>
      </c>
      <c r="I36" s="132">
        <v>0.01</v>
      </c>
      <c r="J36" s="132" t="s">
        <v>325</v>
      </c>
      <c r="K36" s="132">
        <v>0.08</v>
      </c>
      <c r="L36" s="132"/>
      <c r="M36" s="132"/>
      <c r="N36" s="134">
        <f t="shared" si="1"/>
        <v>1</v>
      </c>
    </row>
    <row r="37" spans="1:14" ht="15" customHeight="1" thickBot="1">
      <c r="A37" s="393" t="s">
        <v>698</v>
      </c>
      <c r="B37" s="132" t="s">
        <v>393</v>
      </c>
      <c r="C37" s="133"/>
      <c r="D37" s="132" t="s">
        <v>344</v>
      </c>
      <c r="E37" s="132"/>
      <c r="F37" s="132" t="s">
        <v>644</v>
      </c>
      <c r="G37" s="132"/>
      <c r="H37" s="132" t="s">
        <v>645</v>
      </c>
      <c r="I37" s="132"/>
      <c r="J37" s="132" t="s">
        <v>315</v>
      </c>
      <c r="K37" s="132"/>
      <c r="L37" s="132" t="s">
        <v>546</v>
      </c>
      <c r="M37" s="132"/>
      <c r="N37" s="134">
        <f t="shared" si="1"/>
        <v>0</v>
      </c>
    </row>
    <row r="38" spans="1:14" ht="15.75" thickBot="1">
      <c r="A38" s="393" t="s">
        <v>713</v>
      </c>
      <c r="B38" s="132" t="s">
        <v>393</v>
      </c>
      <c r="C38" s="133">
        <v>0.67</v>
      </c>
      <c r="D38" s="132" t="s">
        <v>394</v>
      </c>
      <c r="E38" s="133"/>
      <c r="F38" s="132" t="s">
        <v>186</v>
      </c>
      <c r="G38" s="133">
        <v>0.33</v>
      </c>
      <c r="H38" s="132" t="s">
        <v>476</v>
      </c>
      <c r="I38" s="133"/>
      <c r="J38" s="132"/>
      <c r="K38" s="132"/>
      <c r="L38" s="132"/>
      <c r="M38" s="132"/>
      <c r="N38" s="134">
        <f t="shared" ref="N38:N48" si="2">M38+K38+I38+G38+E38+C38</f>
        <v>1</v>
      </c>
    </row>
    <row r="39" spans="1:14" ht="15.75" thickBot="1">
      <c r="A39" s="393" t="s">
        <v>711</v>
      </c>
      <c r="B39" s="132" t="s">
        <v>393</v>
      </c>
      <c r="C39" s="133">
        <v>0.63</v>
      </c>
      <c r="D39" s="132" t="s">
        <v>709</v>
      </c>
      <c r="E39" s="133">
        <v>0.12</v>
      </c>
      <c r="F39" s="132" t="s">
        <v>527</v>
      </c>
      <c r="G39" s="133">
        <v>0.08</v>
      </c>
      <c r="H39" s="132" t="s">
        <v>561</v>
      </c>
      <c r="I39" s="133">
        <v>0.01</v>
      </c>
      <c r="J39" s="132" t="s">
        <v>380</v>
      </c>
      <c r="K39" s="132">
        <v>0.01</v>
      </c>
      <c r="L39" s="132" t="s">
        <v>712</v>
      </c>
      <c r="M39" s="132">
        <v>0.15</v>
      </c>
      <c r="N39" s="134">
        <f t="shared" si="2"/>
        <v>1</v>
      </c>
    </row>
    <row r="40" spans="1:14" ht="15.75" thickBot="1">
      <c r="A40" s="151" t="s">
        <v>199</v>
      </c>
      <c r="B40" s="132" t="s">
        <v>393</v>
      </c>
      <c r="C40" s="133">
        <v>0.41</v>
      </c>
      <c r="D40" s="132" t="s">
        <v>346</v>
      </c>
      <c r="E40" s="133">
        <v>0.21</v>
      </c>
      <c r="F40" s="132" t="s">
        <v>709</v>
      </c>
      <c r="G40" s="133">
        <v>0.21</v>
      </c>
      <c r="H40" s="132" t="s">
        <v>130</v>
      </c>
      <c r="I40" s="133">
        <v>0.12</v>
      </c>
      <c r="J40" s="132" t="s">
        <v>423</v>
      </c>
      <c r="K40" s="132">
        <v>0.05</v>
      </c>
      <c r="L40" s="132"/>
      <c r="M40" s="132"/>
      <c r="N40" s="134">
        <f t="shared" si="2"/>
        <v>1</v>
      </c>
    </row>
    <row r="41" spans="1:14">
      <c r="A41" s="151" t="s">
        <v>248</v>
      </c>
      <c r="B41" s="132" t="s">
        <v>393</v>
      </c>
      <c r="C41" s="133">
        <v>0.6</v>
      </c>
      <c r="D41" s="132" t="s">
        <v>105</v>
      </c>
      <c r="E41" s="133">
        <v>0.15</v>
      </c>
      <c r="F41" s="132" t="s">
        <v>102</v>
      </c>
      <c r="G41" s="133">
        <v>0.15</v>
      </c>
      <c r="H41" s="132" t="s">
        <v>394</v>
      </c>
      <c r="I41" s="133">
        <v>0.1</v>
      </c>
      <c r="J41" s="132" t="s">
        <v>379</v>
      </c>
      <c r="K41" s="132"/>
      <c r="L41" s="132"/>
      <c r="M41" s="132"/>
      <c r="N41" s="134">
        <f t="shared" si="2"/>
        <v>1</v>
      </c>
    </row>
    <row r="42" spans="1:14" ht="15.75" thickBot="1">
      <c r="A42" s="151" t="s">
        <v>242</v>
      </c>
      <c r="B42" s="132" t="s">
        <v>393</v>
      </c>
      <c r="C42" s="133">
        <v>0.73</v>
      </c>
      <c r="D42" s="132" t="s">
        <v>326</v>
      </c>
      <c r="E42" s="133">
        <v>0.1</v>
      </c>
      <c r="F42" s="132" t="s">
        <v>105</v>
      </c>
      <c r="G42" s="133">
        <v>0.1</v>
      </c>
      <c r="H42" s="132" t="s">
        <v>131</v>
      </c>
      <c r="I42" s="133">
        <v>7.0000000000000007E-2</v>
      </c>
      <c r="J42" s="132" t="s">
        <v>362</v>
      </c>
      <c r="K42" s="132"/>
      <c r="L42" s="132" t="s">
        <v>323</v>
      </c>
      <c r="M42" s="132"/>
      <c r="N42" s="134">
        <f t="shared" si="2"/>
        <v>1</v>
      </c>
    </row>
    <row r="43" spans="1:14" ht="15.75" thickBot="1">
      <c r="A43" s="151" t="s">
        <v>710</v>
      </c>
      <c r="B43" s="132" t="s">
        <v>393</v>
      </c>
      <c r="C43" s="133">
        <v>0.54</v>
      </c>
      <c r="D43" s="132" t="s">
        <v>308</v>
      </c>
      <c r="E43" s="133">
        <v>7.0000000000000007E-2</v>
      </c>
      <c r="F43" s="132" t="s">
        <v>394</v>
      </c>
      <c r="G43" s="133">
        <v>0.17</v>
      </c>
      <c r="H43" s="132" t="s">
        <v>130</v>
      </c>
      <c r="I43" s="133">
        <v>0.17</v>
      </c>
      <c r="J43" s="132" t="s">
        <v>423</v>
      </c>
      <c r="K43" s="132">
        <v>0.05</v>
      </c>
      <c r="L43" s="132"/>
      <c r="M43" s="132"/>
      <c r="N43" s="134">
        <f t="shared" si="2"/>
        <v>1</v>
      </c>
    </row>
    <row r="44" spans="1:14" ht="15.75" thickBot="1">
      <c r="A44" s="411" t="s">
        <v>166</v>
      </c>
      <c r="B44" s="132" t="s">
        <v>395</v>
      </c>
      <c r="C44" s="133">
        <v>0.4</v>
      </c>
      <c r="D44" s="132" t="s">
        <v>396</v>
      </c>
      <c r="E44" s="133">
        <v>0.25</v>
      </c>
      <c r="F44" s="132" t="s">
        <v>326</v>
      </c>
      <c r="G44" s="133">
        <v>0.13</v>
      </c>
      <c r="H44" s="132" t="s">
        <v>397</v>
      </c>
      <c r="I44" s="133">
        <v>0.1</v>
      </c>
      <c r="J44" s="132" t="s">
        <v>398</v>
      </c>
      <c r="K44" s="132">
        <v>0.12</v>
      </c>
      <c r="L44" s="132"/>
      <c r="M44" s="132"/>
      <c r="N44" s="134">
        <f t="shared" si="2"/>
        <v>1</v>
      </c>
    </row>
    <row r="45" spans="1:14" ht="15.75" thickBot="1">
      <c r="A45" s="141" t="s">
        <v>165</v>
      </c>
      <c r="B45" s="132" t="s">
        <v>399</v>
      </c>
      <c r="C45" s="133">
        <v>0.4</v>
      </c>
      <c r="D45" s="132" t="s">
        <v>396</v>
      </c>
      <c r="E45" s="132">
        <v>0.25</v>
      </c>
      <c r="F45" s="132" t="s">
        <v>326</v>
      </c>
      <c r="G45" s="132">
        <v>0.15</v>
      </c>
      <c r="H45" s="132" t="s">
        <v>310</v>
      </c>
      <c r="I45" s="132">
        <v>0.1</v>
      </c>
      <c r="J45" s="132" t="s">
        <v>332</v>
      </c>
      <c r="K45" s="132">
        <v>0.1</v>
      </c>
      <c r="L45" s="132"/>
      <c r="M45" s="132"/>
      <c r="N45" s="134">
        <f t="shared" si="2"/>
        <v>1</v>
      </c>
    </row>
    <row r="46" spans="1:14" ht="15.75" thickBot="1">
      <c r="A46" s="141" t="s">
        <v>250</v>
      </c>
      <c r="B46" s="132" t="s">
        <v>333</v>
      </c>
      <c r="C46" s="133">
        <v>0.6</v>
      </c>
      <c r="D46" s="132" t="s">
        <v>400</v>
      </c>
      <c r="E46" s="133">
        <v>0.05</v>
      </c>
      <c r="F46" s="132" t="s">
        <v>401</v>
      </c>
      <c r="G46" s="132">
        <v>0.25</v>
      </c>
      <c r="H46" s="132" t="s">
        <v>315</v>
      </c>
      <c r="I46" s="132">
        <v>0.01</v>
      </c>
      <c r="J46" s="132" t="s">
        <v>130</v>
      </c>
      <c r="K46" s="132">
        <v>0.1</v>
      </c>
      <c r="L46" s="132" t="s">
        <v>402</v>
      </c>
      <c r="M46" s="132">
        <v>0.01</v>
      </c>
      <c r="N46" s="134">
        <f t="shared" si="2"/>
        <v>1.02</v>
      </c>
    </row>
    <row r="47" spans="1:14">
      <c r="A47" s="141" t="s">
        <v>168</v>
      </c>
      <c r="B47" s="132" t="s">
        <v>403</v>
      </c>
      <c r="C47" s="133">
        <v>0.4</v>
      </c>
      <c r="D47" s="132" t="s">
        <v>356</v>
      </c>
      <c r="E47" s="133">
        <v>0.25</v>
      </c>
      <c r="F47" s="132" t="s">
        <v>326</v>
      </c>
      <c r="G47" s="132">
        <v>0.13</v>
      </c>
      <c r="H47" s="132" t="s">
        <v>355</v>
      </c>
      <c r="I47" s="132">
        <v>0.1</v>
      </c>
      <c r="J47" s="132" t="s">
        <v>310</v>
      </c>
      <c r="K47" s="132">
        <v>0.1</v>
      </c>
      <c r="L47" s="132" t="s">
        <v>379</v>
      </c>
      <c r="M47" s="132">
        <v>0.02</v>
      </c>
      <c r="N47" s="134">
        <f t="shared" si="2"/>
        <v>1</v>
      </c>
    </row>
    <row r="48" spans="1:14">
      <c r="A48" s="132" t="s">
        <v>404</v>
      </c>
      <c r="B48" s="132"/>
      <c r="C48" s="133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4">
        <f t="shared" si="2"/>
        <v>0</v>
      </c>
    </row>
    <row r="49" spans="1:17" ht="15.75" thickBot="1">
      <c r="A49" s="134" t="s">
        <v>223</v>
      </c>
      <c r="B49" s="134" t="s">
        <v>405</v>
      </c>
      <c r="C49" s="134" t="s">
        <v>406</v>
      </c>
      <c r="D49" s="134" t="s">
        <v>407</v>
      </c>
      <c r="E49" s="134" t="s">
        <v>408</v>
      </c>
      <c r="F49" s="134" t="s">
        <v>409</v>
      </c>
      <c r="G49" s="134" t="s">
        <v>410</v>
      </c>
      <c r="H49" s="134" t="s">
        <v>411</v>
      </c>
      <c r="I49" s="134" t="s">
        <v>412</v>
      </c>
      <c r="J49" s="134" t="s">
        <v>413</v>
      </c>
      <c r="K49" s="134" t="s">
        <v>414</v>
      </c>
      <c r="L49" s="134" t="s">
        <v>415</v>
      </c>
      <c r="M49" s="134" t="s">
        <v>416</v>
      </c>
      <c r="N49" s="134" t="s">
        <v>417</v>
      </c>
    </row>
    <row r="50" spans="1:17" ht="15.75" thickBot="1">
      <c r="A50" s="412" t="s">
        <v>714</v>
      </c>
      <c r="B50" s="410" t="s">
        <v>715</v>
      </c>
      <c r="C50" s="134">
        <v>0.55000000000000004</v>
      </c>
      <c r="D50" s="410" t="s">
        <v>53</v>
      </c>
      <c r="E50" s="134">
        <v>0.06</v>
      </c>
      <c r="F50" s="410" t="s">
        <v>374</v>
      </c>
      <c r="G50" s="134">
        <v>0.15</v>
      </c>
      <c r="H50" s="410" t="s">
        <v>716</v>
      </c>
      <c r="I50" s="134">
        <v>0.15</v>
      </c>
      <c r="J50" s="410" t="s">
        <v>717</v>
      </c>
      <c r="K50" s="134">
        <v>0.03</v>
      </c>
      <c r="L50" s="410" t="s">
        <v>131</v>
      </c>
      <c r="M50" s="134">
        <v>0.06</v>
      </c>
      <c r="N50" s="134">
        <f t="shared" ref="N50" si="3">M50+K50+I50+G50+E50+C50</f>
        <v>1</v>
      </c>
    </row>
    <row r="51" spans="1:17" ht="15.75" thickBot="1">
      <c r="A51" s="396" t="s">
        <v>293</v>
      </c>
      <c r="B51" s="391" t="s">
        <v>418</v>
      </c>
      <c r="C51" s="392">
        <v>0.8</v>
      </c>
      <c r="D51" s="391" t="s">
        <v>419</v>
      </c>
      <c r="E51" s="391">
        <v>0.2</v>
      </c>
      <c r="F51" s="390" t="s">
        <v>420</v>
      </c>
      <c r="G51" s="390"/>
      <c r="H51" s="390"/>
      <c r="I51" s="390"/>
      <c r="J51" s="390"/>
      <c r="K51" s="390"/>
      <c r="L51" s="390"/>
      <c r="M51" s="390"/>
      <c r="N51" s="134">
        <f t="shared" ref="N51:N56" si="4">M51+K51+I51+G51+E51+C51</f>
        <v>1</v>
      </c>
    </row>
    <row r="52" spans="1:17">
      <c r="A52" s="418" t="s">
        <v>421</v>
      </c>
      <c r="B52" s="142" t="s">
        <v>96</v>
      </c>
      <c r="C52" s="143">
        <v>0.76</v>
      </c>
      <c r="D52" s="142" t="s">
        <v>422</v>
      </c>
      <c r="E52" s="143">
        <v>0.1</v>
      </c>
      <c r="F52" s="142" t="s">
        <v>57</v>
      </c>
      <c r="G52" s="143">
        <v>0.1</v>
      </c>
      <c r="H52" s="142" t="s">
        <v>104</v>
      </c>
      <c r="I52" s="143">
        <v>0.01</v>
      </c>
      <c r="J52" s="142" t="s">
        <v>423</v>
      </c>
      <c r="K52" s="143">
        <v>0.03</v>
      </c>
      <c r="L52" s="142"/>
      <c r="M52" s="142"/>
      <c r="N52" s="135">
        <f t="shared" si="4"/>
        <v>1</v>
      </c>
    </row>
    <row r="53" spans="1:17">
      <c r="A53" s="395" t="s">
        <v>195</v>
      </c>
      <c r="B53" s="152" t="s">
        <v>424</v>
      </c>
      <c r="C53" s="152">
        <v>0.16</v>
      </c>
      <c r="D53" s="152" t="s">
        <v>425</v>
      </c>
      <c r="E53" s="152">
        <v>0.25</v>
      </c>
      <c r="F53" s="152" t="s">
        <v>426</v>
      </c>
      <c r="G53" s="152">
        <v>0.13</v>
      </c>
      <c r="H53" s="152" t="s">
        <v>427</v>
      </c>
      <c r="I53" s="152">
        <v>0.13</v>
      </c>
      <c r="J53" s="152" t="s">
        <v>418</v>
      </c>
      <c r="K53" s="152">
        <v>0.13</v>
      </c>
      <c r="L53" s="152" t="s">
        <v>428</v>
      </c>
      <c r="M53" s="152">
        <v>0.2</v>
      </c>
      <c r="N53" s="134">
        <f t="shared" si="4"/>
        <v>1</v>
      </c>
    </row>
    <row r="54" spans="1:17">
      <c r="A54" s="135" t="s">
        <v>222</v>
      </c>
      <c r="B54" s="153" t="s">
        <v>429</v>
      </c>
      <c r="C54" s="375">
        <v>0.36</v>
      </c>
      <c r="D54" s="153" t="s">
        <v>113</v>
      </c>
      <c r="E54" s="153">
        <v>0.1</v>
      </c>
      <c r="F54" s="135" t="s">
        <v>396</v>
      </c>
      <c r="G54" s="135">
        <v>0.16</v>
      </c>
      <c r="H54" s="135" t="s">
        <v>430</v>
      </c>
      <c r="I54" s="135">
        <v>0.15</v>
      </c>
      <c r="J54" s="135" t="s">
        <v>326</v>
      </c>
      <c r="K54" s="135">
        <v>0.05</v>
      </c>
      <c r="L54" s="135" t="s">
        <v>431</v>
      </c>
      <c r="M54" s="135">
        <v>0.18</v>
      </c>
      <c r="N54" s="134">
        <f t="shared" si="4"/>
        <v>1</v>
      </c>
    </row>
    <row r="55" spans="1:17">
      <c r="A55" s="395" t="s">
        <v>266</v>
      </c>
      <c r="B55" s="153" t="s">
        <v>429</v>
      </c>
      <c r="C55" s="375">
        <v>0.36</v>
      </c>
      <c r="D55" s="153" t="s">
        <v>186</v>
      </c>
      <c r="E55" s="153">
        <v>0.1</v>
      </c>
      <c r="F55" s="135" t="s">
        <v>396</v>
      </c>
      <c r="G55" s="135">
        <v>0.16</v>
      </c>
      <c r="H55" s="135" t="s">
        <v>430</v>
      </c>
      <c r="I55" s="135">
        <v>0.15</v>
      </c>
      <c r="J55" s="135" t="s">
        <v>326</v>
      </c>
      <c r="K55" s="135">
        <v>0.05</v>
      </c>
      <c r="L55" s="135" t="s">
        <v>431</v>
      </c>
      <c r="M55" s="135">
        <v>0.18</v>
      </c>
      <c r="N55" s="134">
        <f t="shared" si="4"/>
        <v>1</v>
      </c>
    </row>
    <row r="56" spans="1:17">
      <c r="A56" s="135" t="s">
        <v>432</v>
      </c>
      <c r="B56" s="153" t="s">
        <v>429</v>
      </c>
      <c r="C56" s="375">
        <v>0.36</v>
      </c>
      <c r="D56" s="153" t="s">
        <v>433</v>
      </c>
      <c r="E56" s="153">
        <v>0.1</v>
      </c>
      <c r="F56" s="135" t="s">
        <v>186</v>
      </c>
      <c r="G56" s="135">
        <v>0.16</v>
      </c>
      <c r="H56" s="135" t="s">
        <v>430</v>
      </c>
      <c r="I56" s="135">
        <v>0.15</v>
      </c>
      <c r="J56" s="135" t="s">
        <v>326</v>
      </c>
      <c r="K56" s="135">
        <v>0.05</v>
      </c>
      <c r="L56" s="135" t="s">
        <v>431</v>
      </c>
      <c r="M56" s="135">
        <v>0.18</v>
      </c>
      <c r="N56" s="134">
        <f t="shared" si="4"/>
        <v>1</v>
      </c>
    </row>
    <row r="58" spans="1:17">
      <c r="A58" s="139" t="s">
        <v>279</v>
      </c>
      <c r="B58" s="153" t="s">
        <v>434</v>
      </c>
      <c r="C58" s="375">
        <v>0.4</v>
      </c>
      <c r="D58" s="153" t="s">
        <v>435</v>
      </c>
      <c r="E58" s="153">
        <v>0.2</v>
      </c>
      <c r="F58" s="135" t="s">
        <v>314</v>
      </c>
      <c r="G58" s="135">
        <v>0.2</v>
      </c>
      <c r="H58" s="135" t="s">
        <v>436</v>
      </c>
      <c r="I58" s="135">
        <v>0.15</v>
      </c>
      <c r="J58" s="135"/>
      <c r="K58" s="135"/>
      <c r="L58" s="135"/>
      <c r="M58" s="135"/>
      <c r="N58" s="134">
        <f t="shared" ref="N58:N63" si="5">M58+K58+I58+G58+E58+C58</f>
        <v>0.95000000000000007</v>
      </c>
      <c r="P58" s="54">
        <v>0.05</v>
      </c>
      <c r="Q58" s="54" t="e">
        <f>(P58/#REF!)*100</f>
        <v>#REF!</v>
      </c>
    </row>
    <row r="59" spans="1:17">
      <c r="A59" s="155" t="s">
        <v>437</v>
      </c>
      <c r="B59" s="153" t="s">
        <v>438</v>
      </c>
      <c r="C59" s="375"/>
      <c r="D59" s="153" t="s">
        <v>439</v>
      </c>
      <c r="E59" s="153"/>
      <c r="F59" s="135" t="s">
        <v>440</v>
      </c>
      <c r="G59" s="135"/>
      <c r="H59" s="135" t="s">
        <v>436</v>
      </c>
      <c r="I59" s="135"/>
      <c r="J59" s="135"/>
      <c r="K59" s="135"/>
      <c r="L59" s="135"/>
      <c r="M59" s="135"/>
      <c r="N59" s="134">
        <f t="shared" si="5"/>
        <v>0</v>
      </c>
      <c r="P59" s="145">
        <v>0.04</v>
      </c>
      <c r="Q59" s="54" t="e">
        <f>(P59/#REF!)*100</f>
        <v>#REF!</v>
      </c>
    </row>
    <row r="60" spans="1:17">
      <c r="A60" s="139" t="s">
        <v>203</v>
      </c>
      <c r="B60" s="153" t="s">
        <v>441</v>
      </c>
      <c r="C60" s="375">
        <v>0.85</v>
      </c>
      <c r="D60" s="153" t="s">
        <v>327</v>
      </c>
      <c r="E60" s="153">
        <v>0.15</v>
      </c>
      <c r="F60" s="135"/>
      <c r="G60" s="135"/>
      <c r="H60" s="135"/>
      <c r="I60" s="135"/>
      <c r="J60" s="135"/>
      <c r="K60" s="135"/>
      <c r="L60" s="135"/>
      <c r="M60" s="135"/>
      <c r="N60" s="134">
        <f t="shared" si="5"/>
        <v>1</v>
      </c>
      <c r="P60" s="145">
        <v>5.0000000000000001E-3</v>
      </c>
      <c r="Q60" s="145" t="e">
        <f>(P60/#REF!)*100</f>
        <v>#REF!</v>
      </c>
    </row>
    <row r="61" spans="1:17">
      <c r="A61" s="139" t="s">
        <v>235</v>
      </c>
      <c r="B61" s="153" t="s">
        <v>235</v>
      </c>
      <c r="C61" s="375">
        <v>0.6</v>
      </c>
      <c r="D61" s="153" t="s">
        <v>53</v>
      </c>
      <c r="E61" s="153">
        <v>0.2</v>
      </c>
      <c r="F61" s="135" t="s">
        <v>130</v>
      </c>
      <c r="G61" s="135">
        <v>0.05</v>
      </c>
      <c r="H61" s="135" t="s">
        <v>131</v>
      </c>
      <c r="I61" s="135">
        <v>0.05</v>
      </c>
      <c r="J61" s="135" t="s">
        <v>315</v>
      </c>
      <c r="K61" s="135">
        <v>0.1</v>
      </c>
      <c r="L61" s="135"/>
      <c r="M61" s="135"/>
      <c r="N61" s="134">
        <f t="shared" si="5"/>
        <v>1</v>
      </c>
      <c r="P61">
        <v>5.0000000000000001E-3</v>
      </c>
      <c r="Q61" s="54" t="e">
        <f>(P61/#REF!)*100</f>
        <v>#REF!</v>
      </c>
    </row>
    <row r="62" spans="1:17">
      <c r="A62" s="139" t="s">
        <v>236</v>
      </c>
      <c r="B62" s="153" t="s">
        <v>442</v>
      </c>
      <c r="C62" s="375">
        <v>0.7</v>
      </c>
      <c r="D62" s="153" t="s">
        <v>355</v>
      </c>
      <c r="E62" s="153">
        <v>0.2</v>
      </c>
      <c r="F62" s="135" t="s">
        <v>326</v>
      </c>
      <c r="G62" s="135">
        <v>0.1</v>
      </c>
      <c r="H62" s="135" t="s">
        <v>443</v>
      </c>
      <c r="I62" s="135"/>
      <c r="J62" s="135" t="s">
        <v>444</v>
      </c>
      <c r="K62" s="135"/>
      <c r="L62" s="135"/>
      <c r="M62" s="135"/>
      <c r="N62" s="134">
        <f t="shared" si="5"/>
        <v>1</v>
      </c>
      <c r="P62" s="145">
        <v>2E-3</v>
      </c>
      <c r="Q62" s="145" t="e">
        <f>(P62/#REF!)*100</f>
        <v>#REF!</v>
      </c>
    </row>
    <row r="63" spans="1:17">
      <c r="A63" s="419" t="s">
        <v>264</v>
      </c>
      <c r="B63" s="153" t="s">
        <v>345</v>
      </c>
      <c r="C63" s="375">
        <v>0.77</v>
      </c>
      <c r="D63" s="153" t="s">
        <v>346</v>
      </c>
      <c r="E63" s="153">
        <v>0.15</v>
      </c>
      <c r="F63" s="135" t="s">
        <v>445</v>
      </c>
      <c r="G63" s="135">
        <v>0.08</v>
      </c>
      <c r="H63" s="135" t="s">
        <v>394</v>
      </c>
      <c r="I63" s="135"/>
      <c r="J63" s="135" t="s">
        <v>130</v>
      </c>
      <c r="K63" s="135"/>
      <c r="L63" s="135"/>
      <c r="M63" s="135"/>
      <c r="N63" s="134">
        <f t="shared" si="5"/>
        <v>1</v>
      </c>
      <c r="P63" s="145"/>
      <c r="Q63" s="145"/>
    </row>
    <row r="64" spans="1:17">
      <c r="A64" s="135"/>
    </row>
    <row r="65" spans="1:17">
      <c r="A65" s="135"/>
      <c r="P65" s="54">
        <f>SUM(P58:P64)</f>
        <v>0.10200000000000001</v>
      </c>
      <c r="Q65" s="54" t="e">
        <f>(P65/$R$61)*100</f>
        <v>#DIV/0!</v>
      </c>
    </row>
    <row r="66" spans="1:17">
      <c r="A66" s="13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outlinePr summaryBelow="0" summaryRight="0"/>
  </sheetPr>
  <dimension ref="A1:S67"/>
  <sheetViews>
    <sheetView zoomScale="85" zoomScaleNormal="85" workbookViewId="0">
      <selection activeCell="C67" sqref="C67"/>
    </sheetView>
  </sheetViews>
  <sheetFormatPr baseColWidth="10" defaultColWidth="14.42578125" defaultRowHeight="15" customHeight="1"/>
  <cols>
    <col min="1" max="1" width="33.5703125" bestFit="1" customWidth="1"/>
  </cols>
  <sheetData>
    <row r="1" spans="1:18">
      <c r="A1" s="156" t="s">
        <v>180</v>
      </c>
      <c r="B1" s="153" t="s">
        <v>448</v>
      </c>
      <c r="C1" s="153">
        <v>0.85</v>
      </c>
      <c r="D1" s="153" t="s">
        <v>449</v>
      </c>
      <c r="E1" s="153">
        <v>0.1</v>
      </c>
      <c r="F1" s="153" t="s">
        <v>328</v>
      </c>
      <c r="G1" s="153">
        <v>0.02</v>
      </c>
      <c r="H1" s="153" t="s">
        <v>315</v>
      </c>
      <c r="I1" s="153">
        <v>1.4999999999999999E-2</v>
      </c>
      <c r="J1" s="153" t="s">
        <v>450</v>
      </c>
      <c r="K1" s="153">
        <v>1.4999999999999999E-2</v>
      </c>
      <c r="L1" s="153"/>
      <c r="M1" s="153"/>
      <c r="N1" s="134">
        <f t="shared" ref="N1:N16" si="0">M1+K1+I1+G1+E1+C1</f>
        <v>1</v>
      </c>
      <c r="P1" s="54" t="s">
        <v>451</v>
      </c>
      <c r="Q1" s="54" t="s">
        <v>452</v>
      </c>
    </row>
    <row r="2" spans="1:18">
      <c r="A2" s="156" t="s">
        <v>221</v>
      </c>
      <c r="B2" s="153" t="s">
        <v>448</v>
      </c>
      <c r="C2" s="153">
        <v>0.75</v>
      </c>
      <c r="D2" s="153" t="s">
        <v>449</v>
      </c>
      <c r="E2" s="153">
        <v>0.11</v>
      </c>
      <c r="F2" s="153" t="s">
        <v>328</v>
      </c>
      <c r="G2" s="153">
        <v>0.02</v>
      </c>
      <c r="H2" s="153" t="s">
        <v>315</v>
      </c>
      <c r="I2" s="153">
        <v>0.02</v>
      </c>
      <c r="J2" s="153" t="s">
        <v>450</v>
      </c>
      <c r="K2" s="153">
        <v>0.02</v>
      </c>
      <c r="L2" s="153" t="s">
        <v>453</v>
      </c>
      <c r="M2" s="153">
        <v>0.08</v>
      </c>
      <c r="N2" s="134">
        <f t="shared" si="0"/>
        <v>1</v>
      </c>
      <c r="P2" s="54" t="s">
        <v>451</v>
      </c>
      <c r="Q2" s="54" t="s">
        <v>452</v>
      </c>
    </row>
    <row r="3" spans="1:18">
      <c r="A3" s="420" t="s">
        <v>267</v>
      </c>
      <c r="B3" s="153" t="s">
        <v>454</v>
      </c>
      <c r="C3" s="153">
        <v>0.54</v>
      </c>
      <c r="D3" s="153" t="s">
        <v>67</v>
      </c>
      <c r="E3" s="153">
        <v>0.16</v>
      </c>
      <c r="F3" s="153" t="s">
        <v>326</v>
      </c>
      <c r="G3" s="153">
        <v>0.16</v>
      </c>
      <c r="H3" s="153" t="s">
        <v>455</v>
      </c>
      <c r="I3" s="153">
        <v>7.0000000000000007E-2</v>
      </c>
      <c r="J3" s="153" t="s">
        <v>63</v>
      </c>
      <c r="K3" s="153">
        <v>7.0000000000000007E-2</v>
      </c>
      <c r="L3" s="153" t="s">
        <v>456</v>
      </c>
      <c r="M3" s="153">
        <v>0.03</v>
      </c>
      <c r="N3" s="134">
        <f t="shared" si="0"/>
        <v>1.03</v>
      </c>
      <c r="P3" s="54"/>
      <c r="Q3" s="54"/>
    </row>
    <row r="4" spans="1:18">
      <c r="A4" s="420" t="s">
        <v>701</v>
      </c>
      <c r="B4" s="153" t="s">
        <v>457</v>
      </c>
      <c r="C4" s="153">
        <v>0.4</v>
      </c>
      <c r="D4" s="153" t="s">
        <v>458</v>
      </c>
      <c r="E4" s="153">
        <v>0.4</v>
      </c>
      <c r="F4" s="153" t="s">
        <v>330</v>
      </c>
      <c r="G4" s="153"/>
      <c r="H4" s="153" t="s">
        <v>368</v>
      </c>
      <c r="I4" s="153"/>
      <c r="J4" s="153" t="s">
        <v>63</v>
      </c>
      <c r="K4" s="153">
        <v>0.17</v>
      </c>
      <c r="L4" s="153" t="s">
        <v>702</v>
      </c>
      <c r="M4" s="153">
        <v>0.12</v>
      </c>
      <c r="N4" s="134">
        <f t="shared" si="0"/>
        <v>1.0900000000000001</v>
      </c>
      <c r="P4" s="54"/>
      <c r="Q4" s="54"/>
    </row>
    <row r="5" spans="1:18">
      <c r="A5" s="420" t="s">
        <v>298</v>
      </c>
      <c r="B5" s="153" t="s">
        <v>457</v>
      </c>
      <c r="C5" s="153">
        <v>0.33</v>
      </c>
      <c r="D5" s="153" t="s">
        <v>458</v>
      </c>
      <c r="E5" s="153">
        <v>0.33</v>
      </c>
      <c r="F5" s="153" t="s">
        <v>330</v>
      </c>
      <c r="G5" s="153">
        <v>1E-3</v>
      </c>
      <c r="H5" s="153" t="s">
        <v>368</v>
      </c>
      <c r="I5" s="153">
        <v>1E-3</v>
      </c>
      <c r="J5" s="153" t="s">
        <v>63</v>
      </c>
      <c r="K5" s="153">
        <v>0.01</v>
      </c>
      <c r="L5" s="153" t="s">
        <v>58</v>
      </c>
      <c r="M5" s="153">
        <v>0.33</v>
      </c>
      <c r="N5" s="134">
        <f t="shared" si="0"/>
        <v>1.002</v>
      </c>
      <c r="P5" s="54"/>
      <c r="Q5" s="54"/>
    </row>
    <row r="6" spans="1:18">
      <c r="A6" s="421" t="s">
        <v>277</v>
      </c>
      <c r="B6" s="153" t="s">
        <v>459</v>
      </c>
      <c r="C6" s="153">
        <v>0.67</v>
      </c>
      <c r="D6" s="153" t="s">
        <v>67</v>
      </c>
      <c r="E6" s="153">
        <v>0.06</v>
      </c>
      <c r="F6" s="153" t="s">
        <v>346</v>
      </c>
      <c r="G6" s="153">
        <v>0.06</v>
      </c>
      <c r="H6" s="153" t="s">
        <v>70</v>
      </c>
      <c r="I6" s="153">
        <v>0.06</v>
      </c>
      <c r="J6" s="153" t="s">
        <v>63</v>
      </c>
      <c r="K6" s="153">
        <v>0.09</v>
      </c>
      <c r="L6" s="153" t="s">
        <v>53</v>
      </c>
      <c r="M6" s="153">
        <v>0.06</v>
      </c>
      <c r="N6" s="134">
        <f t="shared" si="0"/>
        <v>1</v>
      </c>
      <c r="P6" s="54"/>
      <c r="Q6" s="54"/>
    </row>
    <row r="7" spans="1:18">
      <c r="A7" s="153" t="s">
        <v>460</v>
      </c>
      <c r="B7" s="153" t="s">
        <v>461</v>
      </c>
      <c r="C7" s="153">
        <v>0.62</v>
      </c>
      <c r="D7" s="153" t="s">
        <v>63</v>
      </c>
      <c r="E7" s="153">
        <v>0.11</v>
      </c>
      <c r="F7" s="153" t="s">
        <v>61</v>
      </c>
      <c r="G7" s="153">
        <v>0.08</v>
      </c>
      <c r="H7" s="153" t="s">
        <v>70</v>
      </c>
      <c r="I7" s="153">
        <v>0.08</v>
      </c>
      <c r="J7" s="153" t="s">
        <v>130</v>
      </c>
      <c r="K7" s="153">
        <v>0.11</v>
      </c>
      <c r="L7" s="153" t="s">
        <v>462</v>
      </c>
      <c r="M7" s="153"/>
      <c r="N7" s="134">
        <f t="shared" si="0"/>
        <v>1</v>
      </c>
      <c r="Q7" s="54">
        <v>0.09</v>
      </c>
      <c r="R7" s="54">
        <f>(Q7/P16)*100</f>
        <v>74.999999999999986</v>
      </c>
    </row>
    <row r="8" spans="1:18">
      <c r="A8" s="158" t="s">
        <v>239</v>
      </c>
      <c r="B8" s="153" t="s">
        <v>463</v>
      </c>
      <c r="C8" s="153">
        <v>0.54</v>
      </c>
      <c r="D8" s="153" t="s">
        <v>464</v>
      </c>
      <c r="E8" s="153">
        <v>0.35</v>
      </c>
      <c r="F8" s="153" t="s">
        <v>308</v>
      </c>
      <c r="G8" s="153">
        <v>0.1</v>
      </c>
      <c r="H8" s="153" t="s">
        <v>328</v>
      </c>
      <c r="I8" s="153">
        <v>0.01</v>
      </c>
      <c r="J8" s="153"/>
      <c r="K8" s="153"/>
      <c r="L8" s="153"/>
      <c r="M8" s="153"/>
      <c r="N8" s="134">
        <f t="shared" si="0"/>
        <v>1</v>
      </c>
      <c r="Q8" s="54">
        <v>1.4999999999999999E-2</v>
      </c>
      <c r="R8" s="54">
        <f>(Q8/P16)*100</f>
        <v>12.499999999999998</v>
      </c>
    </row>
    <row r="9" spans="1:18">
      <c r="A9" s="153" t="s">
        <v>465</v>
      </c>
      <c r="B9" s="153" t="s">
        <v>466</v>
      </c>
      <c r="C9" s="153">
        <v>0.5</v>
      </c>
      <c r="D9" s="153" t="s">
        <v>467</v>
      </c>
      <c r="E9" s="153">
        <v>0.1</v>
      </c>
      <c r="F9" s="153" t="s">
        <v>53</v>
      </c>
      <c r="G9" s="153">
        <v>0.1</v>
      </c>
      <c r="H9" s="153" t="s">
        <v>468</v>
      </c>
      <c r="I9" s="153">
        <v>0.1</v>
      </c>
      <c r="J9" s="153" t="s">
        <v>469</v>
      </c>
      <c r="K9" s="153">
        <v>0.02</v>
      </c>
      <c r="L9" s="153" t="s">
        <v>470</v>
      </c>
      <c r="M9" s="153">
        <v>0.18</v>
      </c>
      <c r="N9" s="134">
        <f t="shared" si="0"/>
        <v>1</v>
      </c>
      <c r="Q9" s="54">
        <v>5.0000000000000001E-3</v>
      </c>
      <c r="R9" s="54">
        <f>(Q9/P16)*100</f>
        <v>4.1666666666666661</v>
      </c>
    </row>
    <row r="10" spans="1:18">
      <c r="A10" s="156" t="s">
        <v>471</v>
      </c>
      <c r="B10" s="153" t="s">
        <v>448</v>
      </c>
      <c r="C10" s="153">
        <v>0.3</v>
      </c>
      <c r="D10" s="153" t="s">
        <v>472</v>
      </c>
      <c r="E10" s="153">
        <v>0.3</v>
      </c>
      <c r="F10" s="153" t="s">
        <v>326</v>
      </c>
      <c r="G10" s="153">
        <v>0.15</v>
      </c>
      <c r="H10" s="153" t="s">
        <v>473</v>
      </c>
      <c r="I10" s="153">
        <v>0.15</v>
      </c>
      <c r="J10" s="153" t="s">
        <v>474</v>
      </c>
      <c r="K10" s="153">
        <v>0.05</v>
      </c>
      <c r="L10" s="153" t="s">
        <v>449</v>
      </c>
      <c r="M10" s="153">
        <v>0.05</v>
      </c>
      <c r="N10" s="134">
        <f t="shared" si="0"/>
        <v>1</v>
      </c>
      <c r="Q10" s="408">
        <v>5.0000000000000001E-3</v>
      </c>
      <c r="R10" s="54">
        <f>(Q10/P16)*100</f>
        <v>4.1666666666666661</v>
      </c>
    </row>
    <row r="11" spans="1:18">
      <c r="A11" s="158" t="s">
        <v>224</v>
      </c>
      <c r="B11" s="153" t="s">
        <v>475</v>
      </c>
      <c r="C11" s="153">
        <v>0.65</v>
      </c>
      <c r="D11" s="153" t="s">
        <v>58</v>
      </c>
      <c r="E11" s="153">
        <v>0.35</v>
      </c>
      <c r="F11" s="153" t="s">
        <v>315</v>
      </c>
      <c r="G11" s="153"/>
      <c r="H11" s="153" t="s">
        <v>476</v>
      </c>
      <c r="I11" s="153"/>
      <c r="J11" s="153" t="s">
        <v>477</v>
      </c>
      <c r="K11" s="153"/>
      <c r="L11" s="153" t="s">
        <v>478</v>
      </c>
      <c r="M11" s="153"/>
      <c r="N11" s="134">
        <f t="shared" si="0"/>
        <v>1</v>
      </c>
      <c r="Q11" s="408">
        <v>5.0000000000000001E-3</v>
      </c>
      <c r="R11" s="54">
        <f>(Q11/$P$51)*100</f>
        <v>0.50505050505050508</v>
      </c>
    </row>
    <row r="12" spans="1:18">
      <c r="A12" s="159" t="s">
        <v>234</v>
      </c>
      <c r="B12" s="134" t="s">
        <v>61</v>
      </c>
      <c r="C12" s="134">
        <v>0.9</v>
      </c>
      <c r="D12" s="134" t="s">
        <v>479</v>
      </c>
      <c r="E12" s="134">
        <v>0.1</v>
      </c>
      <c r="F12" s="134" t="s">
        <v>53</v>
      </c>
      <c r="G12" s="134"/>
      <c r="H12" s="134"/>
      <c r="I12" s="134"/>
      <c r="J12" s="134"/>
      <c r="K12" s="134"/>
      <c r="L12" s="134"/>
      <c r="M12" s="134"/>
      <c r="N12" s="134">
        <f t="shared" si="0"/>
        <v>1</v>
      </c>
      <c r="Q12" s="406"/>
      <c r="R12" s="54">
        <f>(Q12/$P$51)*100</f>
        <v>0</v>
      </c>
    </row>
    <row r="13" spans="1:18">
      <c r="A13" s="388" t="s">
        <v>290</v>
      </c>
      <c r="B13" s="134" t="s">
        <v>480</v>
      </c>
      <c r="C13" s="134">
        <v>0.24</v>
      </c>
      <c r="D13" s="134" t="s">
        <v>481</v>
      </c>
      <c r="E13" s="134">
        <v>0.24</v>
      </c>
      <c r="F13" s="134" t="s">
        <v>482</v>
      </c>
      <c r="G13" s="134">
        <v>0.31</v>
      </c>
      <c r="H13" s="134" t="s">
        <v>335</v>
      </c>
      <c r="I13" s="134">
        <v>0.12</v>
      </c>
      <c r="J13" s="134" t="s">
        <v>483</v>
      </c>
      <c r="K13" s="134">
        <v>0.09</v>
      </c>
      <c r="L13" s="134"/>
      <c r="M13" s="134"/>
      <c r="N13" s="134">
        <f t="shared" si="0"/>
        <v>1</v>
      </c>
      <c r="Q13" s="54"/>
      <c r="R13" s="54"/>
    </row>
    <row r="14" spans="1:18">
      <c r="A14" s="422" t="s">
        <v>703</v>
      </c>
      <c r="B14" s="403" t="s">
        <v>704</v>
      </c>
      <c r="C14" s="134">
        <v>0.27</v>
      </c>
      <c r="D14" s="403" t="s">
        <v>499</v>
      </c>
      <c r="E14" s="134">
        <v>0.05</v>
      </c>
      <c r="F14" s="403" t="s">
        <v>705</v>
      </c>
      <c r="G14" s="134">
        <v>0.34</v>
      </c>
      <c r="H14" s="403" t="s">
        <v>315</v>
      </c>
      <c r="I14" s="134"/>
      <c r="J14" s="403" t="s">
        <v>706</v>
      </c>
      <c r="K14" s="134">
        <v>0.34</v>
      </c>
      <c r="L14" s="403" t="s">
        <v>707</v>
      </c>
      <c r="M14" s="134"/>
      <c r="N14" s="134">
        <f t="shared" si="0"/>
        <v>1</v>
      </c>
      <c r="Q14" s="54"/>
      <c r="R14" s="54"/>
    </row>
    <row r="15" spans="1:18">
      <c r="A15" s="158" t="s">
        <v>214</v>
      </c>
      <c r="B15" s="153" t="s">
        <v>484</v>
      </c>
      <c r="C15" s="153">
        <v>0.55000000000000004</v>
      </c>
      <c r="D15" s="153" t="s">
        <v>485</v>
      </c>
      <c r="E15" s="153">
        <v>0.15</v>
      </c>
      <c r="F15" s="153" t="s">
        <v>486</v>
      </c>
      <c r="G15" s="153">
        <v>0.1</v>
      </c>
      <c r="H15" s="153" t="s">
        <v>487</v>
      </c>
      <c r="I15" s="153">
        <v>0.1</v>
      </c>
      <c r="J15" s="153" t="s">
        <v>335</v>
      </c>
      <c r="K15" s="153">
        <v>0.1</v>
      </c>
      <c r="L15" s="153"/>
      <c r="M15" s="153"/>
      <c r="N15" s="134">
        <f t="shared" si="0"/>
        <v>1</v>
      </c>
      <c r="Q15" s="54"/>
      <c r="R15" s="54"/>
    </row>
    <row r="16" spans="1:18">
      <c r="A16" s="156" t="s">
        <v>230</v>
      </c>
      <c r="B16" s="153" t="s">
        <v>488</v>
      </c>
      <c r="C16" s="153">
        <v>0.8</v>
      </c>
      <c r="D16" s="153" t="s">
        <v>67</v>
      </c>
      <c r="E16" s="153">
        <v>0.1</v>
      </c>
      <c r="F16" s="153" t="s">
        <v>53</v>
      </c>
      <c r="G16" s="153">
        <v>0.1</v>
      </c>
      <c r="H16" s="153" t="s">
        <v>489</v>
      </c>
      <c r="I16" s="153"/>
      <c r="J16" s="153"/>
      <c r="K16" s="153"/>
      <c r="L16" s="153"/>
      <c r="M16" s="153"/>
      <c r="N16" s="134">
        <f t="shared" si="0"/>
        <v>1</v>
      </c>
      <c r="P16" s="573">
        <f>SUM(Q7:Q12)</f>
        <v>0.12000000000000001</v>
      </c>
      <c r="Q16" s="474"/>
      <c r="R16" s="154"/>
    </row>
    <row r="17" spans="1:19">
      <c r="A17" s="405" t="s">
        <v>261</v>
      </c>
      <c r="B17" s="135" t="s">
        <v>490</v>
      </c>
      <c r="C17" s="135"/>
      <c r="D17" s="135" t="s">
        <v>377</v>
      </c>
      <c r="E17" s="135"/>
      <c r="F17" s="135" t="s">
        <v>491</v>
      </c>
      <c r="G17" s="135"/>
      <c r="H17" s="135"/>
      <c r="I17" s="135"/>
      <c r="J17" s="135"/>
      <c r="K17" s="135"/>
      <c r="L17" s="135"/>
      <c r="M17" s="135"/>
      <c r="N17" s="134"/>
      <c r="P17" s="157"/>
      <c r="Q17" s="157"/>
      <c r="R17" s="157"/>
    </row>
    <row r="18" spans="1:19">
      <c r="A18" s="405" t="s">
        <v>274</v>
      </c>
      <c r="B18" s="135" t="s">
        <v>492</v>
      </c>
      <c r="C18" s="135">
        <v>0.45</v>
      </c>
      <c r="D18" s="135" t="s">
        <v>67</v>
      </c>
      <c r="E18" s="135">
        <v>0.09</v>
      </c>
      <c r="F18" s="135" t="s">
        <v>493</v>
      </c>
      <c r="G18" s="135">
        <v>0.09</v>
      </c>
      <c r="H18" s="135" t="s">
        <v>186</v>
      </c>
      <c r="I18" s="135">
        <v>0.09</v>
      </c>
      <c r="J18" s="135" t="s">
        <v>494</v>
      </c>
      <c r="K18" s="135">
        <v>0.09</v>
      </c>
      <c r="L18" s="135" t="s">
        <v>495</v>
      </c>
      <c r="M18" s="135">
        <v>0.2</v>
      </c>
      <c r="N18" s="134">
        <f t="shared" ref="N18:N20" si="1">M18+K18+I18+G18+E18+C18</f>
        <v>1.01</v>
      </c>
      <c r="P18" s="157"/>
      <c r="Q18" s="157"/>
      <c r="R18" s="157"/>
    </row>
    <row r="19" spans="1:19">
      <c r="A19" s="135" t="s">
        <v>153</v>
      </c>
      <c r="B19" s="135" t="s">
        <v>492</v>
      </c>
      <c r="C19" s="135">
        <v>0.25</v>
      </c>
      <c r="D19" s="132" t="s">
        <v>340</v>
      </c>
      <c r="E19" s="133">
        <v>0.1</v>
      </c>
      <c r="F19" s="132" t="s">
        <v>341</v>
      </c>
      <c r="G19" s="133">
        <v>0.3</v>
      </c>
      <c r="H19" s="132" t="s">
        <v>496</v>
      </c>
      <c r="I19" s="133">
        <v>0.1</v>
      </c>
      <c r="J19" s="135" t="s">
        <v>497</v>
      </c>
      <c r="K19" s="135">
        <v>0.2</v>
      </c>
      <c r="L19" s="135" t="s">
        <v>382</v>
      </c>
      <c r="M19" s="135">
        <v>0.05</v>
      </c>
      <c r="N19" s="134">
        <f t="shared" si="1"/>
        <v>0.99999999999999989</v>
      </c>
      <c r="P19" s="157"/>
      <c r="Q19" s="157"/>
      <c r="R19" s="157"/>
    </row>
    <row r="20" spans="1:19">
      <c r="A20" s="137" t="s">
        <v>249</v>
      </c>
      <c r="B20" s="134" t="s">
        <v>498</v>
      </c>
      <c r="C20" s="134">
        <v>0.28000000000000003</v>
      </c>
      <c r="D20" s="134" t="s">
        <v>499</v>
      </c>
      <c r="E20" s="134">
        <v>0.21</v>
      </c>
      <c r="F20" s="134" t="s">
        <v>130</v>
      </c>
      <c r="G20" s="134">
        <v>0.09</v>
      </c>
      <c r="H20" s="134" t="s">
        <v>350</v>
      </c>
      <c r="I20" s="134">
        <v>0.3</v>
      </c>
      <c r="J20" s="134" t="s">
        <v>326</v>
      </c>
      <c r="K20" s="134">
        <v>0.12</v>
      </c>
      <c r="L20" s="134"/>
      <c r="M20" s="134"/>
      <c r="N20" s="134">
        <f t="shared" si="1"/>
        <v>1</v>
      </c>
      <c r="P20" s="157"/>
      <c r="Q20" s="157"/>
      <c r="R20" s="157"/>
    </row>
    <row r="21" spans="1:19">
      <c r="A21" s="159" t="s">
        <v>245</v>
      </c>
      <c r="B21" s="134" t="s">
        <v>500</v>
      </c>
      <c r="C21" s="134">
        <v>0.8</v>
      </c>
      <c r="D21" s="134" t="s">
        <v>325</v>
      </c>
      <c r="E21" s="134">
        <v>0.2</v>
      </c>
      <c r="F21" s="134" t="s">
        <v>501</v>
      </c>
      <c r="G21" s="134">
        <v>0.1</v>
      </c>
      <c r="H21" s="134"/>
      <c r="I21" s="134"/>
      <c r="J21" s="134"/>
      <c r="K21" s="134"/>
      <c r="L21" s="134"/>
      <c r="M21" s="134"/>
      <c r="N21" s="134"/>
      <c r="P21" s="157"/>
      <c r="Q21" s="157"/>
      <c r="R21" s="157"/>
    </row>
    <row r="22" spans="1:19">
      <c r="A22" s="423" t="s">
        <v>297</v>
      </c>
      <c r="B22" s="134" t="s">
        <v>502</v>
      </c>
      <c r="C22" s="134">
        <v>0.66</v>
      </c>
      <c r="D22" s="134" t="s">
        <v>503</v>
      </c>
      <c r="E22" s="134">
        <v>7.0000000000000007E-2</v>
      </c>
      <c r="F22" s="134" t="s">
        <v>504</v>
      </c>
      <c r="G22" s="134">
        <v>0.26</v>
      </c>
      <c r="H22" s="134" t="s">
        <v>505</v>
      </c>
      <c r="I22" s="134"/>
      <c r="J22" s="134"/>
      <c r="K22" s="134"/>
      <c r="L22" s="134"/>
      <c r="M22" s="134"/>
      <c r="N22" s="134">
        <f t="shared" ref="N22:N53" si="2">M22+K22+I22+G22+E22+C22</f>
        <v>0.99</v>
      </c>
      <c r="P22" s="157"/>
      <c r="Q22" s="157"/>
      <c r="R22" s="157"/>
    </row>
    <row r="23" spans="1:19" ht="15.75" thickBot="1">
      <c r="A23" s="159" t="s">
        <v>209</v>
      </c>
      <c r="B23" s="134" t="s">
        <v>446</v>
      </c>
      <c r="C23" s="134"/>
      <c r="D23" s="134" t="s">
        <v>447</v>
      </c>
      <c r="E23" s="134"/>
      <c r="F23" s="134" t="s">
        <v>506</v>
      </c>
      <c r="G23" s="134"/>
      <c r="H23" s="134"/>
      <c r="I23" s="134"/>
      <c r="J23" s="134"/>
      <c r="K23" s="134"/>
      <c r="L23" s="134"/>
      <c r="M23" s="134"/>
      <c r="N23" s="134">
        <f t="shared" si="2"/>
        <v>0</v>
      </c>
      <c r="P23" s="157"/>
      <c r="Q23" s="157"/>
      <c r="R23" s="157"/>
    </row>
    <row r="24" spans="1:19" ht="15.75" thickBot="1">
      <c r="A24" s="404" t="s">
        <v>205</v>
      </c>
      <c r="B24" s="153" t="s">
        <v>85</v>
      </c>
      <c r="C24" s="153">
        <v>0.8</v>
      </c>
      <c r="D24" s="153" t="s">
        <v>88</v>
      </c>
      <c r="E24" s="153">
        <v>0.2</v>
      </c>
      <c r="F24" s="153"/>
      <c r="G24" s="153"/>
      <c r="H24" s="153"/>
      <c r="I24" s="153"/>
      <c r="J24" s="153"/>
      <c r="K24" s="153"/>
      <c r="L24" s="153"/>
      <c r="M24" s="153"/>
      <c r="N24" s="134">
        <f t="shared" si="2"/>
        <v>1</v>
      </c>
      <c r="P24" s="157"/>
      <c r="Q24" s="157"/>
      <c r="R24" s="157"/>
    </row>
    <row r="25" spans="1:19" ht="15.75" thickBot="1">
      <c r="A25" s="404" t="s">
        <v>232</v>
      </c>
      <c r="B25" s="153" t="s">
        <v>507</v>
      </c>
      <c r="C25" s="153">
        <v>0.7</v>
      </c>
      <c r="D25" s="153" t="s">
        <v>67</v>
      </c>
      <c r="E25" s="153">
        <v>0.1</v>
      </c>
      <c r="F25" s="153" t="s">
        <v>456</v>
      </c>
      <c r="G25" s="153">
        <v>0.1</v>
      </c>
      <c r="H25" s="153" t="s">
        <v>489</v>
      </c>
      <c r="I25" s="153"/>
      <c r="J25" s="153" t="s">
        <v>53</v>
      </c>
      <c r="K25" s="153">
        <v>0.1</v>
      </c>
      <c r="L25" s="153"/>
      <c r="M25" s="153"/>
      <c r="N25" s="134">
        <f t="shared" si="2"/>
        <v>1</v>
      </c>
      <c r="P25" s="157"/>
      <c r="R25" s="157"/>
    </row>
    <row r="26" spans="1:19">
      <c r="A26" s="160" t="s">
        <v>213</v>
      </c>
      <c r="B26" s="153" t="s">
        <v>391</v>
      </c>
      <c r="C26" s="153">
        <v>0.2</v>
      </c>
      <c r="D26" s="153" t="s">
        <v>368</v>
      </c>
      <c r="E26" s="153">
        <v>0.36</v>
      </c>
      <c r="F26" s="153" t="s">
        <v>402</v>
      </c>
      <c r="G26" s="153">
        <v>0.22</v>
      </c>
      <c r="H26" s="153" t="s">
        <v>310</v>
      </c>
      <c r="I26" s="153">
        <v>0.2</v>
      </c>
      <c r="J26" s="153" t="s">
        <v>508</v>
      </c>
      <c r="K26" s="153">
        <v>0.02</v>
      </c>
      <c r="L26" s="153"/>
      <c r="M26" s="153"/>
      <c r="N26" s="134">
        <f t="shared" si="2"/>
        <v>1</v>
      </c>
      <c r="P26" s="376"/>
      <c r="Q26" s="54"/>
    </row>
    <row r="27" spans="1:19">
      <c r="A27" s="159" t="s">
        <v>244</v>
      </c>
      <c r="B27" s="134" t="s">
        <v>67</v>
      </c>
      <c r="C27" s="134">
        <v>0.3</v>
      </c>
      <c r="D27" s="134" t="s">
        <v>509</v>
      </c>
      <c r="E27" s="134">
        <v>0.4</v>
      </c>
      <c r="F27" s="134" t="s">
        <v>493</v>
      </c>
      <c r="G27" s="134">
        <v>0.15</v>
      </c>
      <c r="H27" s="134" t="s">
        <v>510</v>
      </c>
      <c r="I27" s="134">
        <v>0.1</v>
      </c>
      <c r="J27" s="134" t="s">
        <v>511</v>
      </c>
      <c r="K27" s="134">
        <v>0.05</v>
      </c>
      <c r="L27" s="134"/>
      <c r="M27" s="134"/>
      <c r="N27" s="134">
        <f t="shared" si="2"/>
        <v>1</v>
      </c>
      <c r="P27" s="376"/>
    </row>
    <row r="28" spans="1:19">
      <c r="A28" s="159" t="s">
        <v>177</v>
      </c>
      <c r="B28" s="135" t="s">
        <v>512</v>
      </c>
      <c r="C28" s="135">
        <v>0.7</v>
      </c>
      <c r="D28" s="135" t="s">
        <v>88</v>
      </c>
      <c r="E28" s="135">
        <v>0.25</v>
      </c>
      <c r="F28" s="135" t="s">
        <v>328</v>
      </c>
      <c r="G28" s="135">
        <v>0.02</v>
      </c>
      <c r="H28" s="135" t="s">
        <v>503</v>
      </c>
      <c r="I28" s="135">
        <v>0.03</v>
      </c>
      <c r="J28" s="135"/>
      <c r="K28" s="135"/>
      <c r="L28" s="135"/>
      <c r="M28" s="135"/>
      <c r="N28" s="134">
        <f t="shared" si="2"/>
        <v>1</v>
      </c>
    </row>
    <row r="29" spans="1:19">
      <c r="A29" s="159" t="s">
        <v>241</v>
      </c>
      <c r="B29" s="134" t="s">
        <v>513</v>
      </c>
      <c r="C29" s="134">
        <v>0.6</v>
      </c>
      <c r="D29" s="134" t="s">
        <v>326</v>
      </c>
      <c r="E29" s="134">
        <v>0.1</v>
      </c>
      <c r="F29" s="134" t="s">
        <v>88</v>
      </c>
      <c r="G29" s="134">
        <v>0.25</v>
      </c>
      <c r="H29" s="134" t="s">
        <v>328</v>
      </c>
      <c r="I29" s="134">
        <v>0.02</v>
      </c>
      <c r="J29" s="134" t="s">
        <v>503</v>
      </c>
      <c r="K29" s="134">
        <v>0.03</v>
      </c>
      <c r="L29" s="134"/>
      <c r="M29" s="134"/>
      <c r="N29" s="134">
        <f t="shared" si="2"/>
        <v>1</v>
      </c>
      <c r="P29" s="573"/>
      <c r="Q29" s="474"/>
      <c r="R29" s="474"/>
      <c r="S29" s="474"/>
    </row>
    <row r="30" spans="1:19">
      <c r="A30" s="159" t="s">
        <v>276</v>
      </c>
      <c r="B30" s="134" t="s">
        <v>514</v>
      </c>
      <c r="C30" s="134">
        <v>0.8</v>
      </c>
      <c r="D30" s="134" t="s">
        <v>402</v>
      </c>
      <c r="E30" s="134">
        <v>0.1</v>
      </c>
      <c r="F30" s="134" t="s">
        <v>503</v>
      </c>
      <c r="G30" s="134">
        <v>0.1</v>
      </c>
      <c r="H30" s="134"/>
      <c r="I30" s="134"/>
      <c r="J30" s="134"/>
      <c r="K30" s="134"/>
      <c r="L30" s="134"/>
      <c r="M30" s="134"/>
      <c r="N30" s="134">
        <f t="shared" si="2"/>
        <v>1</v>
      </c>
    </row>
    <row r="31" spans="1:19">
      <c r="A31" s="404" t="s">
        <v>212</v>
      </c>
      <c r="B31" s="153" t="s">
        <v>515</v>
      </c>
      <c r="C31" s="153">
        <v>0.6</v>
      </c>
      <c r="D31" s="153" t="s">
        <v>53</v>
      </c>
      <c r="E31" s="153">
        <v>0.3</v>
      </c>
      <c r="F31" s="153" t="s">
        <v>503</v>
      </c>
      <c r="G31" s="153">
        <v>0.1</v>
      </c>
      <c r="H31" s="153" t="s">
        <v>323</v>
      </c>
      <c r="I31" s="153"/>
      <c r="J31" s="153"/>
      <c r="K31" s="153"/>
      <c r="L31" s="153"/>
      <c r="M31" s="153"/>
      <c r="N31" s="134">
        <f t="shared" si="2"/>
        <v>1</v>
      </c>
    </row>
    <row r="32" spans="1:19">
      <c r="A32" s="159" t="s">
        <v>212</v>
      </c>
      <c r="B32" s="134" t="s">
        <v>515</v>
      </c>
      <c r="C32" s="134">
        <v>0.6</v>
      </c>
      <c r="D32" s="134" t="s">
        <v>326</v>
      </c>
      <c r="E32" s="134">
        <v>0.2</v>
      </c>
      <c r="F32" s="134" t="s">
        <v>503</v>
      </c>
      <c r="G32" s="134"/>
      <c r="H32" s="134" t="s">
        <v>323</v>
      </c>
      <c r="I32" s="134"/>
      <c r="J32" s="134"/>
      <c r="K32" s="134"/>
      <c r="L32" s="134"/>
      <c r="M32" s="134"/>
      <c r="N32" s="134">
        <f t="shared" si="2"/>
        <v>0.8</v>
      </c>
    </row>
    <row r="33" spans="1:18">
      <c r="A33" s="158" t="s">
        <v>200</v>
      </c>
      <c r="B33" s="153" t="s">
        <v>516</v>
      </c>
      <c r="C33" s="153">
        <v>0.9</v>
      </c>
      <c r="D33" s="153" t="s">
        <v>67</v>
      </c>
      <c r="E33" s="153">
        <v>0.05</v>
      </c>
      <c r="F33" s="153" t="s">
        <v>53</v>
      </c>
      <c r="G33" s="153">
        <v>0.04</v>
      </c>
      <c r="H33" s="153" t="s">
        <v>517</v>
      </c>
      <c r="I33" s="153">
        <v>0.01</v>
      </c>
      <c r="J33" s="153"/>
      <c r="K33" s="153"/>
      <c r="L33" s="153"/>
      <c r="M33" s="153"/>
      <c r="N33" s="134">
        <f t="shared" si="2"/>
        <v>1</v>
      </c>
    </row>
    <row r="34" spans="1:18">
      <c r="A34" s="158" t="s">
        <v>228</v>
      </c>
      <c r="B34" s="153" t="s">
        <v>518</v>
      </c>
      <c r="C34" s="153">
        <v>0.67</v>
      </c>
      <c r="D34" s="153" t="s">
        <v>346</v>
      </c>
      <c r="E34" s="153">
        <v>0.08</v>
      </c>
      <c r="F34" s="153" t="s">
        <v>70</v>
      </c>
      <c r="G34" s="153">
        <v>0.05</v>
      </c>
      <c r="H34" s="153" t="s">
        <v>519</v>
      </c>
      <c r="I34" s="153">
        <v>0.01</v>
      </c>
      <c r="J34" s="153" t="s">
        <v>520</v>
      </c>
      <c r="K34" s="153">
        <v>0.19</v>
      </c>
      <c r="L34" s="153" t="s">
        <v>521</v>
      </c>
      <c r="M34" s="153"/>
      <c r="N34" s="134">
        <f t="shared" si="2"/>
        <v>1</v>
      </c>
    </row>
    <row r="35" spans="1:18">
      <c r="A35" s="424" t="s">
        <v>206</v>
      </c>
      <c r="B35" s="153" t="s">
        <v>522</v>
      </c>
      <c r="C35" s="153">
        <v>0.6</v>
      </c>
      <c r="D35" s="153" t="s">
        <v>130</v>
      </c>
      <c r="E35" s="153">
        <v>0.1</v>
      </c>
      <c r="F35" s="153" t="s">
        <v>53</v>
      </c>
      <c r="G35" s="153">
        <v>0.2</v>
      </c>
      <c r="H35" s="153" t="s">
        <v>315</v>
      </c>
      <c r="I35" s="153">
        <v>0.1</v>
      </c>
      <c r="J35" s="153" t="s">
        <v>131</v>
      </c>
      <c r="K35" s="153"/>
      <c r="L35" s="153"/>
      <c r="M35" s="153"/>
      <c r="N35" s="134">
        <f t="shared" si="2"/>
        <v>1</v>
      </c>
    </row>
    <row r="36" spans="1:18">
      <c r="A36" s="420" t="s">
        <v>183</v>
      </c>
      <c r="B36" s="153" t="s">
        <v>523</v>
      </c>
      <c r="C36" s="153">
        <v>0.1</v>
      </c>
      <c r="D36" s="153" t="s">
        <v>88</v>
      </c>
      <c r="E36" s="153">
        <v>0.5</v>
      </c>
      <c r="F36" s="153" t="s">
        <v>524</v>
      </c>
      <c r="G36" s="135">
        <v>0.4</v>
      </c>
      <c r="H36" s="135"/>
      <c r="I36" s="135"/>
      <c r="J36" s="135"/>
      <c r="K36" s="135"/>
      <c r="L36" s="135"/>
      <c r="M36" s="135"/>
      <c r="N36" s="135">
        <f t="shared" si="2"/>
        <v>1</v>
      </c>
      <c r="O36" s="145"/>
      <c r="P36" s="145"/>
      <c r="Q36" s="145"/>
      <c r="R36" s="145"/>
    </row>
    <row r="37" spans="1:18">
      <c r="A37" s="159" t="s">
        <v>243</v>
      </c>
      <c r="B37" s="134" t="s">
        <v>525</v>
      </c>
      <c r="C37" s="134">
        <v>0.13</v>
      </c>
      <c r="D37" s="134" t="s">
        <v>526</v>
      </c>
      <c r="E37" s="134">
        <v>0.09</v>
      </c>
      <c r="F37" s="134" t="s">
        <v>186</v>
      </c>
      <c r="G37" s="134">
        <v>0.43</v>
      </c>
      <c r="H37" s="134" t="s">
        <v>510</v>
      </c>
      <c r="I37" s="134">
        <v>0.25</v>
      </c>
      <c r="J37" s="134" t="s">
        <v>362</v>
      </c>
      <c r="K37" s="134">
        <v>0.05</v>
      </c>
      <c r="L37" s="134" t="s">
        <v>511</v>
      </c>
      <c r="M37" s="134">
        <v>0.05</v>
      </c>
      <c r="N37" s="134">
        <f t="shared" si="2"/>
        <v>1</v>
      </c>
    </row>
    <row r="38" spans="1:18">
      <c r="A38" s="135" t="s">
        <v>216</v>
      </c>
      <c r="B38" s="135" t="s">
        <v>523</v>
      </c>
      <c r="C38" s="135">
        <v>0.1</v>
      </c>
      <c r="D38" s="135" t="s">
        <v>85</v>
      </c>
      <c r="E38" s="135">
        <v>0.3</v>
      </c>
      <c r="F38" s="135" t="s">
        <v>87</v>
      </c>
      <c r="G38" s="135">
        <v>0.1</v>
      </c>
      <c r="H38" s="135" t="s">
        <v>88</v>
      </c>
      <c r="I38" s="135">
        <v>0.5</v>
      </c>
      <c r="J38" s="135"/>
      <c r="K38" s="135"/>
      <c r="L38" s="135"/>
      <c r="M38" s="135"/>
      <c r="N38" s="135">
        <f t="shared" si="2"/>
        <v>0.99999999999999989</v>
      </c>
      <c r="O38" s="145"/>
      <c r="P38" s="145"/>
      <c r="Q38" s="145"/>
      <c r="R38" s="145"/>
    </row>
    <row r="39" spans="1:18">
      <c r="A39" s="159" t="s">
        <v>204</v>
      </c>
      <c r="B39" s="134" t="s">
        <v>520</v>
      </c>
      <c r="C39" s="134">
        <v>0.6</v>
      </c>
      <c r="D39" s="134" t="s">
        <v>61</v>
      </c>
      <c r="E39" s="134">
        <v>0.2</v>
      </c>
      <c r="F39" s="134" t="s">
        <v>326</v>
      </c>
      <c r="G39" s="134">
        <v>0.2</v>
      </c>
      <c r="H39" s="134" t="s">
        <v>328</v>
      </c>
      <c r="I39" s="134"/>
      <c r="J39" s="134"/>
      <c r="K39" s="134"/>
      <c r="L39" s="134"/>
      <c r="M39" s="134"/>
      <c r="N39" s="134">
        <f t="shared" si="2"/>
        <v>1</v>
      </c>
    </row>
    <row r="40" spans="1:18">
      <c r="A40" s="159" t="s">
        <v>201</v>
      </c>
      <c r="B40" s="134" t="s">
        <v>520</v>
      </c>
      <c r="C40" s="134">
        <v>0.4</v>
      </c>
      <c r="D40" s="134" t="s">
        <v>67</v>
      </c>
      <c r="E40" s="134">
        <v>0.2</v>
      </c>
      <c r="F40" s="134" t="s">
        <v>456</v>
      </c>
      <c r="G40" s="134">
        <v>0.2</v>
      </c>
      <c r="H40" s="134" t="s">
        <v>326</v>
      </c>
      <c r="I40" s="134">
        <v>0.1</v>
      </c>
      <c r="J40" s="134" t="s">
        <v>478</v>
      </c>
      <c r="K40" s="134">
        <v>0.1</v>
      </c>
      <c r="L40" s="134"/>
      <c r="M40" s="134"/>
      <c r="N40" s="134">
        <f t="shared" si="2"/>
        <v>1</v>
      </c>
    </row>
    <row r="41" spans="1:18">
      <c r="A41" s="409" t="s">
        <v>187</v>
      </c>
      <c r="B41" s="153" t="s">
        <v>393</v>
      </c>
      <c r="C41" s="153">
        <v>0.55000000000000004</v>
      </c>
      <c r="D41" s="153" t="s">
        <v>527</v>
      </c>
      <c r="E41" s="153">
        <v>0.35</v>
      </c>
      <c r="F41" s="153" t="s">
        <v>528</v>
      </c>
      <c r="G41" s="153">
        <v>0.1</v>
      </c>
      <c r="H41" s="153" t="s">
        <v>529</v>
      </c>
      <c r="I41" s="153"/>
      <c r="J41" s="153"/>
      <c r="K41" s="153"/>
      <c r="L41" s="153"/>
      <c r="M41" s="153"/>
      <c r="N41" s="134">
        <f t="shared" si="2"/>
        <v>1</v>
      </c>
      <c r="Q41" s="54">
        <v>0.62</v>
      </c>
      <c r="R41" s="54">
        <f t="shared" ref="R41:R48" si="3">(Q41/$P$51)*100</f>
        <v>62.62626262626263</v>
      </c>
    </row>
    <row r="42" spans="1:18" s="414" customFormat="1">
      <c r="A42" s="424" t="s">
        <v>719</v>
      </c>
      <c r="B42" s="413" t="s">
        <v>720</v>
      </c>
      <c r="C42" s="413">
        <v>0.75</v>
      </c>
      <c r="D42" s="413" t="s">
        <v>131</v>
      </c>
      <c r="E42" s="413">
        <v>0.12</v>
      </c>
      <c r="F42" s="413" t="s">
        <v>61</v>
      </c>
      <c r="G42" s="413">
        <v>0.05</v>
      </c>
      <c r="H42" s="413" t="s">
        <v>53</v>
      </c>
      <c r="I42" s="413">
        <v>0.05</v>
      </c>
      <c r="J42" s="413" t="s">
        <v>541</v>
      </c>
      <c r="K42" s="413">
        <v>0.05</v>
      </c>
      <c r="L42" s="413"/>
      <c r="M42" s="413"/>
      <c r="N42" s="134">
        <f t="shared" si="2"/>
        <v>1.02</v>
      </c>
      <c r="Q42" s="415">
        <v>0.06</v>
      </c>
      <c r="R42" s="54">
        <f t="shared" si="3"/>
        <v>6.0606060606060606</v>
      </c>
    </row>
    <row r="43" spans="1:18">
      <c r="A43" s="421" t="s">
        <v>219</v>
      </c>
      <c r="B43" s="153" t="s">
        <v>530</v>
      </c>
      <c r="C43" s="153">
        <v>0.6</v>
      </c>
      <c r="D43" s="153" t="s">
        <v>58</v>
      </c>
      <c r="E43" s="153">
        <v>0.3</v>
      </c>
      <c r="F43" s="153" t="s">
        <v>531</v>
      </c>
      <c r="G43" s="153">
        <v>0.08</v>
      </c>
      <c r="H43" s="153" t="s">
        <v>323</v>
      </c>
      <c r="I43" s="153">
        <v>0.02</v>
      </c>
      <c r="J43" s="153"/>
      <c r="K43" s="153"/>
      <c r="L43" s="153"/>
      <c r="M43" s="153"/>
      <c r="N43" s="134">
        <f t="shared" si="2"/>
        <v>1</v>
      </c>
      <c r="Q43" s="54">
        <v>0.26</v>
      </c>
      <c r="R43" s="54">
        <f t="shared" si="3"/>
        <v>26.262626262626267</v>
      </c>
    </row>
    <row r="44" spans="1:18">
      <c r="A44" s="138" t="s">
        <v>233</v>
      </c>
      <c r="B44" s="134" t="s">
        <v>485</v>
      </c>
      <c r="C44" s="134">
        <v>0.8</v>
      </c>
      <c r="D44" s="134" t="s">
        <v>532</v>
      </c>
      <c r="E44" s="134">
        <v>0.2</v>
      </c>
      <c r="F44" s="134"/>
      <c r="G44" s="134"/>
      <c r="H44" s="134"/>
      <c r="I44" s="134"/>
      <c r="J44" s="134"/>
      <c r="K44" s="134"/>
      <c r="L44" s="134"/>
      <c r="M44" s="134"/>
      <c r="N44" s="134">
        <f t="shared" si="2"/>
        <v>1</v>
      </c>
      <c r="Q44" s="408">
        <v>0.03</v>
      </c>
      <c r="R44" s="54">
        <f t="shared" si="3"/>
        <v>3.0303030303030303</v>
      </c>
    </row>
    <row r="45" spans="1:18">
      <c r="A45" s="425" t="s">
        <v>299</v>
      </c>
      <c r="B45" s="132" t="s">
        <v>458</v>
      </c>
      <c r="C45" s="133">
        <v>0.28000000000000003</v>
      </c>
      <c r="D45" s="132" t="s">
        <v>533</v>
      </c>
      <c r="E45" s="132">
        <v>0.57999999999999996</v>
      </c>
      <c r="F45" s="132" t="s">
        <v>53</v>
      </c>
      <c r="G45" s="132">
        <v>0.11</v>
      </c>
      <c r="H45" s="132" t="s">
        <v>135</v>
      </c>
      <c r="I45" s="132">
        <v>0.03</v>
      </c>
      <c r="J45" s="132"/>
      <c r="K45" s="132"/>
      <c r="L45" s="132"/>
      <c r="M45" s="132"/>
      <c r="N45" s="134">
        <f>M45+K45+I45+G45+E45+C45</f>
        <v>1</v>
      </c>
      <c r="Q45" s="408">
        <v>0.02</v>
      </c>
      <c r="R45" s="408">
        <f t="shared" si="3"/>
        <v>2.0202020202020203</v>
      </c>
    </row>
    <row r="46" spans="1:18">
      <c r="A46" s="153" t="s">
        <v>189</v>
      </c>
      <c r="B46" s="153" t="s">
        <v>534</v>
      </c>
      <c r="C46" s="153">
        <v>0.8</v>
      </c>
      <c r="D46" s="153" t="s">
        <v>535</v>
      </c>
      <c r="E46" s="153">
        <v>0.2</v>
      </c>
      <c r="F46" s="153"/>
      <c r="G46" s="153"/>
      <c r="H46" s="153"/>
      <c r="I46" s="153"/>
      <c r="J46" s="153"/>
      <c r="K46" s="153"/>
      <c r="L46" s="153"/>
      <c r="M46" s="153"/>
      <c r="N46" s="134">
        <f t="shared" si="2"/>
        <v>1</v>
      </c>
      <c r="Q46" s="54"/>
      <c r="R46" s="54">
        <f t="shared" si="3"/>
        <v>0</v>
      </c>
    </row>
    <row r="47" spans="1:18">
      <c r="A47" s="156" t="s">
        <v>292</v>
      </c>
      <c r="B47" s="153" t="s">
        <v>536</v>
      </c>
      <c r="C47" s="153">
        <v>0.32</v>
      </c>
      <c r="D47" s="153" t="s">
        <v>537</v>
      </c>
      <c r="E47" s="153">
        <v>0.32</v>
      </c>
      <c r="F47" s="153" t="s">
        <v>473</v>
      </c>
      <c r="G47" s="153">
        <v>0.33</v>
      </c>
      <c r="H47" s="153" t="s">
        <v>449</v>
      </c>
      <c r="I47" s="153">
        <v>1.4999999999999999E-2</v>
      </c>
      <c r="J47" s="153" t="s">
        <v>538</v>
      </c>
      <c r="K47" s="153">
        <v>1.4999999999999999E-2</v>
      </c>
      <c r="L47" s="153"/>
      <c r="M47" s="153"/>
      <c r="N47" s="134">
        <f t="shared" si="2"/>
        <v>1</v>
      </c>
      <c r="Q47" s="54"/>
      <c r="R47" s="54">
        <f t="shared" si="3"/>
        <v>0</v>
      </c>
    </row>
    <row r="48" spans="1:18">
      <c r="A48" s="409" t="s">
        <v>696</v>
      </c>
      <c r="B48" s="153" t="s">
        <v>149</v>
      </c>
      <c r="C48" s="153">
        <v>0.6</v>
      </c>
      <c r="D48" s="153" t="s">
        <v>697</v>
      </c>
      <c r="E48" s="153"/>
      <c r="F48" s="153"/>
      <c r="G48" s="153"/>
      <c r="H48" s="153"/>
      <c r="I48" s="153"/>
      <c r="J48" s="153"/>
      <c r="K48" s="153"/>
      <c r="L48" s="153"/>
      <c r="M48" s="153"/>
      <c r="N48" s="134">
        <f t="shared" si="2"/>
        <v>0.6</v>
      </c>
      <c r="Q48" s="54"/>
      <c r="R48" s="54">
        <f t="shared" si="3"/>
        <v>0</v>
      </c>
    </row>
    <row r="49" spans="1:18">
      <c r="A49" t="s">
        <v>539</v>
      </c>
      <c r="B49" s="153" t="s">
        <v>540</v>
      </c>
      <c r="C49" s="153">
        <v>0.49</v>
      </c>
      <c r="D49" s="153" t="s">
        <v>61</v>
      </c>
      <c r="E49" s="153">
        <v>0.16</v>
      </c>
      <c r="F49" s="153" t="s">
        <v>493</v>
      </c>
      <c r="G49" s="153">
        <v>0.16</v>
      </c>
      <c r="H49" s="153" t="s">
        <v>346</v>
      </c>
      <c r="I49" s="153">
        <v>0.16</v>
      </c>
      <c r="J49" s="153" t="s">
        <v>541</v>
      </c>
      <c r="K49" s="153">
        <v>0.03</v>
      </c>
      <c r="L49" s="153" t="s">
        <v>542</v>
      </c>
      <c r="M49" s="153" t="s">
        <v>543</v>
      </c>
      <c r="N49" s="134">
        <v>1</v>
      </c>
      <c r="Q49" s="54"/>
      <c r="R49" s="54"/>
    </row>
    <row r="50" spans="1:18">
      <c r="A50" s="153" t="s">
        <v>284</v>
      </c>
      <c r="B50" s="153" t="s">
        <v>544</v>
      </c>
      <c r="C50" s="153">
        <v>0.56999999999999995</v>
      </c>
      <c r="D50" s="153" t="s">
        <v>485</v>
      </c>
      <c r="E50" s="153">
        <v>0.15</v>
      </c>
      <c r="F50" s="153" t="s">
        <v>335</v>
      </c>
      <c r="G50" s="153">
        <v>0.05</v>
      </c>
      <c r="H50" s="153" t="s">
        <v>487</v>
      </c>
      <c r="I50" s="153">
        <v>0.16</v>
      </c>
      <c r="J50" s="153" t="s">
        <v>61</v>
      </c>
      <c r="K50" s="153">
        <v>0.03</v>
      </c>
      <c r="L50" s="153" t="s">
        <v>493</v>
      </c>
      <c r="M50" s="153">
        <v>0.04</v>
      </c>
      <c r="N50" s="134">
        <f t="shared" si="2"/>
        <v>1</v>
      </c>
      <c r="Q50" s="54"/>
      <c r="R50" s="54"/>
    </row>
    <row r="51" spans="1:18">
      <c r="A51" s="134" t="s">
        <v>217</v>
      </c>
      <c r="B51" s="134" t="s">
        <v>545</v>
      </c>
      <c r="C51" s="134">
        <v>0.85</v>
      </c>
      <c r="D51" s="134" t="s">
        <v>315</v>
      </c>
      <c r="E51" s="134">
        <v>7.0000000000000007E-2</v>
      </c>
      <c r="F51" s="134" t="s">
        <v>546</v>
      </c>
      <c r="G51" s="134">
        <v>0.03</v>
      </c>
      <c r="H51" s="134" t="s">
        <v>328</v>
      </c>
      <c r="I51" s="134">
        <v>0.02</v>
      </c>
      <c r="J51" s="134" t="s">
        <v>547</v>
      </c>
      <c r="K51" s="134">
        <v>0.03</v>
      </c>
      <c r="L51" s="134"/>
      <c r="M51" s="134"/>
      <c r="N51" s="134">
        <f t="shared" si="2"/>
        <v>1</v>
      </c>
      <c r="P51" s="573">
        <f>SUM(Q41:Q48)</f>
        <v>0.99</v>
      </c>
      <c r="Q51" s="474"/>
      <c r="R51" s="154"/>
    </row>
    <row r="52" spans="1:18">
      <c r="A52" s="137" t="s">
        <v>725</v>
      </c>
      <c r="B52" s="410" t="s">
        <v>726</v>
      </c>
      <c r="C52" s="134">
        <v>0.62</v>
      </c>
      <c r="D52" s="410" t="s">
        <v>102</v>
      </c>
      <c r="E52" s="134">
        <v>0.06</v>
      </c>
      <c r="F52" s="410" t="s">
        <v>315</v>
      </c>
      <c r="G52" s="134">
        <v>0.26</v>
      </c>
      <c r="H52" s="410" t="s">
        <v>362</v>
      </c>
      <c r="I52" s="134">
        <v>0.03</v>
      </c>
      <c r="J52" s="410" t="s">
        <v>727</v>
      </c>
      <c r="K52" s="134">
        <v>0.02</v>
      </c>
      <c r="L52" s="410" t="s">
        <v>728</v>
      </c>
      <c r="M52" s="134">
        <v>0.01</v>
      </c>
      <c r="N52" s="134">
        <f t="shared" si="2"/>
        <v>1</v>
      </c>
      <c r="P52" s="154"/>
      <c r="R52" s="154"/>
    </row>
    <row r="53" spans="1:18">
      <c r="A53" s="159" t="s">
        <v>237</v>
      </c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>
        <f t="shared" si="2"/>
        <v>0</v>
      </c>
    </row>
    <row r="54" spans="1:18">
      <c r="A54" s="388" t="s">
        <v>300</v>
      </c>
      <c r="B54" s="134" t="s">
        <v>548</v>
      </c>
      <c r="C54" s="134">
        <v>0.96</v>
      </c>
      <c r="D54" s="134" t="s">
        <v>549</v>
      </c>
      <c r="E54" s="134">
        <v>0.04</v>
      </c>
      <c r="F54" s="134" t="s">
        <v>550</v>
      </c>
      <c r="G54" s="134"/>
      <c r="H54" s="134"/>
      <c r="I54" s="134"/>
      <c r="J54" s="134"/>
      <c r="K54" s="134"/>
      <c r="L54" s="134"/>
      <c r="M54" s="134"/>
      <c r="N54" s="134">
        <f t="shared" ref="N54:N66" si="4">M54+K54+I54+G54+E54+C54</f>
        <v>1</v>
      </c>
    </row>
    <row r="55" spans="1:18">
      <c r="A55" s="134" t="s">
        <v>223</v>
      </c>
      <c r="B55" s="134" t="s">
        <v>405</v>
      </c>
      <c r="C55" s="134" t="s">
        <v>406</v>
      </c>
      <c r="D55" s="134" t="s">
        <v>407</v>
      </c>
      <c r="E55" s="134" t="s">
        <v>408</v>
      </c>
      <c r="F55" s="134" t="s">
        <v>409</v>
      </c>
      <c r="G55" s="134" t="s">
        <v>410</v>
      </c>
      <c r="H55" s="134" t="s">
        <v>411</v>
      </c>
      <c r="I55" s="134" t="s">
        <v>412</v>
      </c>
      <c r="J55" s="134" t="s">
        <v>413</v>
      </c>
      <c r="K55" s="134" t="s">
        <v>414</v>
      </c>
      <c r="L55" s="134" t="s">
        <v>415</v>
      </c>
      <c r="M55" s="134" t="s">
        <v>416</v>
      </c>
      <c r="N55" s="134" t="e">
        <f t="shared" si="4"/>
        <v>#VALUE!</v>
      </c>
    </row>
    <row r="56" spans="1:18">
      <c r="A56" s="394" t="s">
        <v>296</v>
      </c>
      <c r="B56" s="153" t="s">
        <v>551</v>
      </c>
      <c r="C56" s="375">
        <v>0.43</v>
      </c>
      <c r="D56" s="153" t="s">
        <v>552</v>
      </c>
      <c r="E56" s="153">
        <v>0.27</v>
      </c>
      <c r="F56" s="135" t="s">
        <v>553</v>
      </c>
      <c r="G56" s="135">
        <v>0.22</v>
      </c>
      <c r="H56" s="135" t="s">
        <v>315</v>
      </c>
      <c r="I56" s="135">
        <v>0.03</v>
      </c>
      <c r="J56" s="135" t="s">
        <v>321</v>
      </c>
      <c r="K56" s="135">
        <v>0.03</v>
      </c>
      <c r="L56" s="135" t="s">
        <v>554</v>
      </c>
      <c r="M56" s="135">
        <v>0.02</v>
      </c>
      <c r="N56" s="134">
        <f>M56+K56+I56+G56+E56+C56</f>
        <v>1</v>
      </c>
      <c r="P56" s="54">
        <v>7.4999999999999997E-2</v>
      </c>
      <c r="Q56" s="54">
        <f>(P56/Poele!P65)*100</f>
        <v>73.52941176470587</v>
      </c>
    </row>
    <row r="57" spans="1:18">
      <c r="A57" s="407" t="s">
        <v>196</v>
      </c>
      <c r="B57" s="134" t="s">
        <v>487</v>
      </c>
      <c r="C57" s="134">
        <v>0.4</v>
      </c>
      <c r="D57" s="134" t="s">
        <v>468</v>
      </c>
      <c r="E57" s="134">
        <v>0.2</v>
      </c>
      <c r="F57" s="134" t="s">
        <v>470</v>
      </c>
      <c r="G57" s="134">
        <v>0.3</v>
      </c>
      <c r="H57" s="134" t="s">
        <v>326</v>
      </c>
      <c r="I57" s="134">
        <v>0.1</v>
      </c>
      <c r="J57" s="134" t="s">
        <v>555</v>
      </c>
      <c r="K57" s="134"/>
      <c r="L57" s="134"/>
      <c r="M57" s="134"/>
      <c r="N57" s="134">
        <f t="shared" si="4"/>
        <v>1</v>
      </c>
      <c r="P57" s="573"/>
      <c r="Q57" s="474"/>
      <c r="R57" s="154"/>
    </row>
    <row r="58" spans="1:18">
      <c r="A58" s="407" t="s">
        <v>194</v>
      </c>
      <c r="B58" s="134" t="s">
        <v>487</v>
      </c>
      <c r="C58" s="134">
        <v>0.41</v>
      </c>
      <c r="D58" s="134" t="s">
        <v>520</v>
      </c>
      <c r="E58" s="134">
        <v>0.4</v>
      </c>
      <c r="F58" s="134" t="s">
        <v>456</v>
      </c>
      <c r="G58" s="134">
        <v>0.1</v>
      </c>
      <c r="H58" s="134" t="s">
        <v>61</v>
      </c>
      <c r="I58" s="134">
        <v>0.06</v>
      </c>
      <c r="J58" s="134" t="s">
        <v>337</v>
      </c>
      <c r="K58" s="134">
        <v>0.03</v>
      </c>
      <c r="L58" s="134"/>
      <c r="M58" s="134"/>
      <c r="N58" s="134">
        <f t="shared" si="4"/>
        <v>1</v>
      </c>
    </row>
    <row r="59" spans="1:18">
      <c r="A59" s="426" t="s">
        <v>723</v>
      </c>
      <c r="B59" s="410" t="s">
        <v>724</v>
      </c>
      <c r="C59" s="134">
        <v>0.57999999999999996</v>
      </c>
      <c r="D59" s="410" t="s">
        <v>105</v>
      </c>
      <c r="E59" s="134">
        <v>0.16</v>
      </c>
      <c r="F59" s="410" t="s">
        <v>63</v>
      </c>
      <c r="G59" s="134">
        <v>0.13</v>
      </c>
      <c r="H59" s="410" t="s">
        <v>53</v>
      </c>
      <c r="I59" s="134">
        <v>0.13</v>
      </c>
      <c r="J59" s="410" t="s">
        <v>708</v>
      </c>
      <c r="K59" s="134"/>
      <c r="L59" s="410" t="s">
        <v>519</v>
      </c>
      <c r="M59" s="134"/>
      <c r="N59" s="134">
        <f t="shared" si="4"/>
        <v>1</v>
      </c>
    </row>
    <row r="60" spans="1:18">
      <c r="A60" s="427" t="s">
        <v>556</v>
      </c>
      <c r="B60" s="134" t="s">
        <v>557</v>
      </c>
      <c r="C60" s="134">
        <v>0.55000000000000004</v>
      </c>
      <c r="D60" s="134" t="s">
        <v>102</v>
      </c>
      <c r="E60" s="134">
        <v>0.16</v>
      </c>
      <c r="F60" s="134" t="s">
        <v>552</v>
      </c>
      <c r="G60" s="134">
        <v>0.19</v>
      </c>
      <c r="H60" s="134" t="s">
        <v>65</v>
      </c>
      <c r="I60" s="134">
        <v>6.0000000000000001E-3</v>
      </c>
      <c r="J60" s="134" t="s">
        <v>558</v>
      </c>
      <c r="K60" s="134">
        <v>3.0000000000000001E-3</v>
      </c>
      <c r="L60" s="134"/>
      <c r="M60" s="134"/>
      <c r="N60" s="134">
        <f t="shared" si="4"/>
        <v>0.90900000000000003</v>
      </c>
    </row>
    <row r="61" spans="1:18" ht="15.75" thickBot="1">
      <c r="A61" s="158" t="s">
        <v>211</v>
      </c>
      <c r="B61" s="153" t="s">
        <v>475</v>
      </c>
      <c r="C61" s="153">
        <v>0.55000000000000004</v>
      </c>
      <c r="D61" s="153" t="s">
        <v>53</v>
      </c>
      <c r="E61" s="153">
        <v>0.17</v>
      </c>
      <c r="F61" s="153" t="s">
        <v>63</v>
      </c>
      <c r="G61" s="153">
        <v>0.17</v>
      </c>
      <c r="H61" s="153" t="s">
        <v>559</v>
      </c>
      <c r="I61" s="153">
        <v>0.11</v>
      </c>
      <c r="J61" s="153" t="s">
        <v>131</v>
      </c>
      <c r="K61" s="153"/>
      <c r="L61" s="153"/>
      <c r="M61" s="153"/>
      <c r="N61" s="134">
        <f t="shared" si="4"/>
        <v>1</v>
      </c>
    </row>
    <row r="62" spans="1:18" ht="15.75" thickBot="1">
      <c r="A62" s="429" t="s">
        <v>281</v>
      </c>
      <c r="B62" s="161" t="s">
        <v>459</v>
      </c>
      <c r="C62" s="161">
        <v>0.6</v>
      </c>
      <c r="D62" s="161" t="s">
        <v>61</v>
      </c>
      <c r="E62" s="161">
        <v>0.14000000000000001</v>
      </c>
      <c r="F62" s="161" t="s">
        <v>326</v>
      </c>
      <c r="G62" s="161">
        <v>0.14000000000000001</v>
      </c>
      <c r="H62" s="161" t="s">
        <v>560</v>
      </c>
      <c r="I62" s="161">
        <v>0.1</v>
      </c>
      <c r="J62" s="161" t="s">
        <v>561</v>
      </c>
      <c r="K62" s="161">
        <v>0.02</v>
      </c>
      <c r="L62" s="161"/>
      <c r="M62" s="161"/>
      <c r="N62" s="134">
        <f t="shared" si="4"/>
        <v>1</v>
      </c>
    </row>
    <row r="63" spans="1:18" ht="15.75" thickBot="1">
      <c r="A63" s="428" t="s">
        <v>721</v>
      </c>
      <c r="B63" s="161" t="s">
        <v>722</v>
      </c>
      <c r="C63" s="161">
        <v>0.6</v>
      </c>
      <c r="D63" s="161" t="s">
        <v>53</v>
      </c>
      <c r="E63" s="161">
        <v>0.18</v>
      </c>
      <c r="F63" s="161" t="s">
        <v>61</v>
      </c>
      <c r="G63" s="161">
        <v>0.11</v>
      </c>
      <c r="H63" s="161" t="s">
        <v>479</v>
      </c>
      <c r="I63" s="161">
        <v>0.11</v>
      </c>
      <c r="J63" s="161"/>
      <c r="K63" s="161"/>
      <c r="L63" s="161"/>
      <c r="M63" s="161"/>
      <c r="N63" s="134">
        <f t="shared" si="4"/>
        <v>1</v>
      </c>
    </row>
    <row r="64" spans="1:18" ht="15.75" thickBot="1">
      <c r="A64" s="137" t="s">
        <v>253</v>
      </c>
      <c r="B64" s="134" t="s">
        <v>115</v>
      </c>
      <c r="C64" s="134">
        <v>0.48</v>
      </c>
      <c r="D64" s="134" t="s">
        <v>336</v>
      </c>
      <c r="E64" s="134">
        <v>0.3</v>
      </c>
      <c r="F64" s="134" t="s">
        <v>504</v>
      </c>
      <c r="G64" s="134">
        <v>0.06</v>
      </c>
      <c r="H64" s="134" t="s">
        <v>562</v>
      </c>
      <c r="I64" s="134">
        <v>0.06</v>
      </c>
      <c r="J64" s="134" t="s">
        <v>563</v>
      </c>
      <c r="K64" s="134">
        <v>0.1</v>
      </c>
      <c r="L64" s="134" t="s">
        <v>564</v>
      </c>
      <c r="M64" s="134"/>
      <c r="N64" s="134">
        <f t="shared" si="4"/>
        <v>1</v>
      </c>
    </row>
    <row r="65" spans="1:14">
      <c r="A65" s="137" t="s">
        <v>208</v>
      </c>
      <c r="B65" s="134" t="s">
        <v>115</v>
      </c>
      <c r="C65" s="134">
        <v>0.5</v>
      </c>
      <c r="D65" s="134" t="s">
        <v>350</v>
      </c>
      <c r="E65" s="134">
        <v>0.27</v>
      </c>
      <c r="F65" s="134" t="s">
        <v>499</v>
      </c>
      <c r="G65" s="134">
        <v>0.1</v>
      </c>
      <c r="H65" s="134" t="s">
        <v>53</v>
      </c>
      <c r="I65" s="134">
        <v>0.05</v>
      </c>
      <c r="J65" s="134" t="s">
        <v>72</v>
      </c>
      <c r="K65" s="134">
        <v>0.05</v>
      </c>
      <c r="L65" s="134" t="s">
        <v>131</v>
      </c>
      <c r="M65" s="134">
        <v>0.03</v>
      </c>
      <c r="N65" s="134">
        <f t="shared" si="4"/>
        <v>1</v>
      </c>
    </row>
    <row r="66" spans="1:14">
      <c r="A66" s="158" t="s">
        <v>226</v>
      </c>
      <c r="B66" s="153" t="s">
        <v>565</v>
      </c>
      <c r="C66" s="153">
        <v>0.85</v>
      </c>
      <c r="D66" s="153" t="s">
        <v>128</v>
      </c>
      <c r="E66" s="153">
        <v>0.15</v>
      </c>
      <c r="F66" s="153"/>
      <c r="G66" s="153"/>
      <c r="H66" s="153"/>
      <c r="I66" s="153"/>
      <c r="J66" s="153"/>
      <c r="K66" s="153"/>
      <c r="L66" s="153"/>
      <c r="M66" s="153"/>
      <c r="N66" s="134">
        <f t="shared" si="4"/>
        <v>1</v>
      </c>
    </row>
    <row r="67" spans="1:14">
      <c r="A67" s="134" t="s">
        <v>282</v>
      </c>
      <c r="B67" s="161"/>
      <c r="C67" s="161"/>
      <c r="D67" s="161"/>
      <c r="E67" s="161"/>
      <c r="F67" s="161"/>
      <c r="G67" s="161"/>
      <c r="H67" s="161"/>
      <c r="I67" s="161"/>
      <c r="J67" s="161"/>
      <c r="K67" s="161"/>
      <c r="L67" s="161"/>
      <c r="M67" s="161"/>
      <c r="N67" s="134"/>
    </row>
  </sheetData>
  <mergeCells count="4">
    <mergeCell ref="P29:S29"/>
    <mergeCell ref="P51:Q51"/>
    <mergeCell ref="P57:Q57"/>
    <mergeCell ref="P16:Q1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outlinePr summaryBelow="0" summaryRight="0"/>
  </sheetPr>
  <dimension ref="A1:S62"/>
  <sheetViews>
    <sheetView workbookViewId="0">
      <selection activeCell="C67" sqref="C67"/>
    </sheetView>
  </sheetViews>
  <sheetFormatPr baseColWidth="10" defaultColWidth="14.42578125" defaultRowHeight="15" customHeight="1"/>
  <cols>
    <col min="1" max="1" width="26.85546875" customWidth="1"/>
  </cols>
  <sheetData>
    <row r="1" spans="1:14">
      <c r="A1" s="135" t="s">
        <v>181</v>
      </c>
      <c r="B1" s="153" t="s">
        <v>566</v>
      </c>
      <c r="C1" s="135">
        <v>0.65</v>
      </c>
      <c r="D1" s="135" t="s">
        <v>63</v>
      </c>
      <c r="E1" s="135">
        <v>0.1</v>
      </c>
      <c r="F1" s="135" t="s">
        <v>186</v>
      </c>
      <c r="G1" s="135">
        <v>0.1</v>
      </c>
      <c r="H1" s="135" t="s">
        <v>356</v>
      </c>
      <c r="I1" s="135">
        <v>0.1</v>
      </c>
      <c r="J1" s="135" t="s">
        <v>130</v>
      </c>
      <c r="K1" s="135">
        <v>0.05</v>
      </c>
      <c r="L1" s="135"/>
      <c r="M1" s="135"/>
      <c r="N1" s="134">
        <f t="shared" ref="N1:N36" si="0">M1+K1+I1+G1+E1+C1</f>
        <v>1</v>
      </c>
    </row>
    <row r="2" spans="1:14">
      <c r="A2" s="135" t="s">
        <v>278</v>
      </c>
      <c r="B2" s="153" t="s">
        <v>566</v>
      </c>
      <c r="C2" s="135">
        <v>0.65</v>
      </c>
      <c r="D2" s="135" t="s">
        <v>567</v>
      </c>
      <c r="E2" s="135">
        <v>0.2</v>
      </c>
      <c r="F2" s="135" t="s">
        <v>326</v>
      </c>
      <c r="G2" s="135">
        <v>0.05</v>
      </c>
      <c r="H2" s="135" t="s">
        <v>315</v>
      </c>
      <c r="I2" s="135">
        <v>0.05</v>
      </c>
      <c r="J2" s="135" t="s">
        <v>467</v>
      </c>
      <c r="K2" s="135">
        <v>0.2</v>
      </c>
      <c r="L2" s="135" t="s">
        <v>568</v>
      </c>
      <c r="M2" s="135">
        <v>0.1</v>
      </c>
      <c r="N2" s="134">
        <f t="shared" si="0"/>
        <v>1.25</v>
      </c>
    </row>
    <row r="3" spans="1:14">
      <c r="A3" s="135" t="s">
        <v>179</v>
      </c>
      <c r="B3" s="153" t="s">
        <v>566</v>
      </c>
      <c r="C3" s="135">
        <v>0.65</v>
      </c>
      <c r="D3" s="135" t="s">
        <v>390</v>
      </c>
      <c r="E3" s="135">
        <v>0.2</v>
      </c>
      <c r="F3" s="135" t="s">
        <v>326</v>
      </c>
      <c r="G3" s="135">
        <v>0.1</v>
      </c>
      <c r="H3" s="135" t="s">
        <v>130</v>
      </c>
      <c r="I3" s="135">
        <v>0.05</v>
      </c>
      <c r="J3" s="135"/>
      <c r="K3" s="135"/>
      <c r="L3" s="135"/>
      <c r="M3" s="135"/>
      <c r="N3" s="134">
        <f t="shared" si="0"/>
        <v>1</v>
      </c>
    </row>
    <row r="4" spans="1:14">
      <c r="A4" s="135" t="s">
        <v>240</v>
      </c>
      <c r="B4" s="153" t="s">
        <v>566</v>
      </c>
      <c r="C4" s="135">
        <v>0.65</v>
      </c>
      <c r="D4" s="135" t="s">
        <v>569</v>
      </c>
      <c r="E4" s="135">
        <v>0.2</v>
      </c>
      <c r="F4" s="135" t="s">
        <v>130</v>
      </c>
      <c r="G4" s="135">
        <v>0.1</v>
      </c>
      <c r="H4" s="135" t="s">
        <v>332</v>
      </c>
      <c r="I4" s="135">
        <v>0.05</v>
      </c>
      <c r="J4" s="135"/>
      <c r="K4" s="135"/>
      <c r="L4" s="135"/>
      <c r="M4" s="135"/>
      <c r="N4" s="134">
        <f t="shared" si="0"/>
        <v>1</v>
      </c>
    </row>
    <row r="5" spans="1:14">
      <c r="A5" s="153" t="s">
        <v>176</v>
      </c>
      <c r="B5" s="153" t="s">
        <v>566</v>
      </c>
      <c r="C5" s="135">
        <v>0.65</v>
      </c>
      <c r="D5" s="153" t="s">
        <v>292</v>
      </c>
      <c r="E5" s="153">
        <v>0.2</v>
      </c>
      <c r="F5" s="153" t="s">
        <v>332</v>
      </c>
      <c r="G5" s="135">
        <v>0.1</v>
      </c>
      <c r="H5" s="135"/>
      <c r="I5" s="135"/>
      <c r="J5" s="135"/>
      <c r="K5" s="135"/>
      <c r="L5" s="135"/>
      <c r="M5" s="135"/>
      <c r="N5" s="134">
        <f t="shared" si="0"/>
        <v>0.95000000000000007</v>
      </c>
    </row>
    <row r="6" spans="1:14">
      <c r="A6" s="135" t="s">
        <v>227</v>
      </c>
      <c r="B6" s="153" t="s">
        <v>566</v>
      </c>
      <c r="C6" s="135">
        <v>0.65</v>
      </c>
      <c r="D6" s="135" t="s">
        <v>63</v>
      </c>
      <c r="E6" s="135">
        <v>0.2</v>
      </c>
      <c r="F6" s="135" t="s">
        <v>332</v>
      </c>
      <c r="G6" s="135">
        <v>0.05</v>
      </c>
      <c r="H6" s="135" t="s">
        <v>130</v>
      </c>
      <c r="I6" s="135">
        <v>0.1</v>
      </c>
      <c r="J6" s="135"/>
      <c r="K6" s="135"/>
      <c r="L6" s="135"/>
      <c r="M6" s="135"/>
      <c r="N6" s="134">
        <f t="shared" si="0"/>
        <v>1</v>
      </c>
    </row>
    <row r="7" spans="1:14">
      <c r="A7" s="135" t="s">
        <v>185</v>
      </c>
      <c r="B7" s="153" t="s">
        <v>566</v>
      </c>
      <c r="C7" s="135">
        <v>0.65</v>
      </c>
      <c r="D7" s="135" t="s">
        <v>554</v>
      </c>
      <c r="E7" s="135">
        <v>2.5000000000000001E-2</v>
      </c>
      <c r="F7" s="135" t="s">
        <v>377</v>
      </c>
      <c r="G7" s="135">
        <v>0.1</v>
      </c>
      <c r="H7" s="135" t="s">
        <v>570</v>
      </c>
      <c r="I7" s="135">
        <v>0.1</v>
      </c>
      <c r="J7" s="135" t="s">
        <v>130</v>
      </c>
      <c r="K7" s="135">
        <v>0.05</v>
      </c>
      <c r="L7" s="135" t="s">
        <v>327</v>
      </c>
      <c r="M7" s="135">
        <v>2.5000000000000001E-2</v>
      </c>
      <c r="N7" s="134">
        <f t="shared" si="0"/>
        <v>0.95000000000000007</v>
      </c>
    </row>
    <row r="8" spans="1:14">
      <c r="A8" s="135" t="s">
        <v>190</v>
      </c>
      <c r="B8" s="153" t="s">
        <v>566</v>
      </c>
      <c r="C8" s="135">
        <v>0.65</v>
      </c>
      <c r="D8" s="135" t="s">
        <v>571</v>
      </c>
      <c r="E8" s="135">
        <v>0.15</v>
      </c>
      <c r="F8" s="135" t="s">
        <v>572</v>
      </c>
      <c r="G8" s="135">
        <v>0.05</v>
      </c>
      <c r="H8" s="135" t="s">
        <v>546</v>
      </c>
      <c r="I8" s="135">
        <v>0.05</v>
      </c>
      <c r="J8" s="135" t="s">
        <v>130</v>
      </c>
      <c r="K8" s="135">
        <v>0.05</v>
      </c>
      <c r="L8" s="135"/>
      <c r="M8" s="135"/>
      <c r="N8" s="134">
        <f t="shared" si="0"/>
        <v>0.95000000000000007</v>
      </c>
    </row>
    <row r="9" spans="1:14">
      <c r="A9" s="135" t="s">
        <v>573</v>
      </c>
      <c r="B9" s="153" t="s">
        <v>566</v>
      </c>
      <c r="C9" s="135">
        <v>0.6</v>
      </c>
      <c r="D9" s="135" t="s">
        <v>327</v>
      </c>
      <c r="E9" s="135">
        <v>7.0000000000000007E-2</v>
      </c>
      <c r="F9" s="135" t="s">
        <v>186</v>
      </c>
      <c r="G9" s="135">
        <v>0.11</v>
      </c>
      <c r="H9" s="135" t="s">
        <v>67</v>
      </c>
      <c r="I9" s="135">
        <v>0.21</v>
      </c>
      <c r="J9" s="135" t="s">
        <v>574</v>
      </c>
      <c r="K9" s="135">
        <v>0.01</v>
      </c>
      <c r="L9" s="135"/>
      <c r="M9" s="135"/>
      <c r="N9" s="134">
        <f t="shared" si="0"/>
        <v>1</v>
      </c>
    </row>
    <row r="10" spans="1:14">
      <c r="A10" s="135" t="s">
        <v>188</v>
      </c>
      <c r="B10" s="153" t="s">
        <v>566</v>
      </c>
      <c r="C10" s="135">
        <v>0.65</v>
      </c>
      <c r="D10" s="135" t="s">
        <v>575</v>
      </c>
      <c r="E10" s="135">
        <v>0.15</v>
      </c>
      <c r="F10" s="135" t="s">
        <v>323</v>
      </c>
      <c r="G10" s="135">
        <v>0.05</v>
      </c>
      <c r="H10" s="135" t="s">
        <v>332</v>
      </c>
      <c r="I10" s="135">
        <v>0.1</v>
      </c>
      <c r="J10" s="135"/>
      <c r="K10" s="135"/>
      <c r="L10" s="135"/>
      <c r="M10" s="135"/>
      <c r="N10" s="134">
        <f t="shared" si="0"/>
        <v>0.95000000000000007</v>
      </c>
    </row>
    <row r="11" spans="1:14">
      <c r="A11" s="132" t="s">
        <v>699</v>
      </c>
      <c r="B11" s="132" t="s">
        <v>403</v>
      </c>
      <c r="C11" s="133">
        <v>0.4</v>
      </c>
      <c r="D11" s="132" t="s">
        <v>356</v>
      </c>
      <c r="E11" s="133">
        <v>0.25</v>
      </c>
      <c r="F11" s="132" t="s">
        <v>326</v>
      </c>
      <c r="G11" s="132">
        <v>0.13</v>
      </c>
      <c r="H11" s="132" t="s">
        <v>355</v>
      </c>
      <c r="I11" s="132">
        <v>0.1</v>
      </c>
      <c r="J11" s="132" t="s">
        <v>310</v>
      </c>
      <c r="K11" s="132">
        <v>0.1</v>
      </c>
      <c r="L11" s="132" t="s">
        <v>379</v>
      </c>
      <c r="M11" s="132">
        <v>0.02</v>
      </c>
      <c r="N11" s="134">
        <f t="shared" si="0"/>
        <v>1</v>
      </c>
    </row>
    <row r="12" spans="1:14">
      <c r="A12" s="135" t="s">
        <v>283</v>
      </c>
      <c r="B12" s="153" t="s">
        <v>566</v>
      </c>
      <c r="C12" s="135">
        <v>0.7</v>
      </c>
      <c r="D12" s="135" t="s">
        <v>388</v>
      </c>
      <c r="E12" s="135">
        <v>0.2</v>
      </c>
      <c r="F12" s="135" t="s">
        <v>330</v>
      </c>
      <c r="G12" s="135">
        <v>0.05</v>
      </c>
      <c r="H12" s="135" t="s">
        <v>332</v>
      </c>
      <c r="I12" s="135">
        <v>0.05</v>
      </c>
      <c r="J12" s="135"/>
      <c r="K12" s="135"/>
      <c r="L12" s="135"/>
      <c r="M12" s="135"/>
      <c r="N12" s="134">
        <f t="shared" si="0"/>
        <v>1</v>
      </c>
    </row>
    <row r="13" spans="1:14">
      <c r="A13" s="135" t="s">
        <v>182</v>
      </c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4">
        <f t="shared" si="0"/>
        <v>0</v>
      </c>
    </row>
    <row r="14" spans="1:14">
      <c r="A14" s="134" t="s">
        <v>202</v>
      </c>
      <c r="B14" s="134" t="s">
        <v>312</v>
      </c>
      <c r="C14" s="134">
        <v>0.68</v>
      </c>
      <c r="D14" s="134" t="s">
        <v>317</v>
      </c>
      <c r="E14" s="134">
        <v>0.14000000000000001</v>
      </c>
      <c r="F14" s="134" t="s">
        <v>318</v>
      </c>
      <c r="G14" s="134">
        <v>0.17</v>
      </c>
      <c r="H14" s="134" t="s">
        <v>315</v>
      </c>
      <c r="I14" s="134">
        <v>0.01</v>
      </c>
      <c r="J14" s="134" t="s">
        <v>319</v>
      </c>
      <c r="K14" s="134"/>
      <c r="L14" s="134" t="s">
        <v>320</v>
      </c>
      <c r="M14" s="134"/>
      <c r="N14" s="134">
        <f t="shared" si="0"/>
        <v>1</v>
      </c>
    </row>
    <row r="15" spans="1:14">
      <c r="A15" s="135" t="s">
        <v>151</v>
      </c>
      <c r="B15" s="135" t="s">
        <v>99</v>
      </c>
      <c r="C15" s="135">
        <v>0.91</v>
      </c>
      <c r="D15" s="135" t="s">
        <v>576</v>
      </c>
      <c r="E15" s="135">
        <v>0.09</v>
      </c>
      <c r="F15" s="135"/>
      <c r="G15" s="135"/>
      <c r="H15" s="135"/>
      <c r="I15" s="135"/>
      <c r="J15" s="135"/>
      <c r="K15" s="135"/>
      <c r="L15" s="135"/>
      <c r="M15" s="135"/>
      <c r="N15" s="134">
        <f t="shared" si="0"/>
        <v>1</v>
      </c>
    </row>
    <row r="16" spans="1:14">
      <c r="A16" s="135" t="s">
        <v>67</v>
      </c>
      <c r="B16" s="135"/>
      <c r="C16" s="135"/>
      <c r="D16" s="373"/>
      <c r="E16" s="374"/>
      <c r="F16" s="135"/>
      <c r="G16" s="135"/>
      <c r="H16" s="135"/>
      <c r="I16" s="135"/>
      <c r="J16" s="135"/>
      <c r="K16" s="135"/>
      <c r="L16" s="135"/>
      <c r="M16" s="135"/>
      <c r="N16" s="134">
        <f t="shared" si="0"/>
        <v>0</v>
      </c>
    </row>
    <row r="17" spans="1:14">
      <c r="A17" s="135" t="s">
        <v>193</v>
      </c>
      <c r="B17" s="135" t="s">
        <v>67</v>
      </c>
      <c r="C17" s="135"/>
      <c r="D17" s="373" t="s">
        <v>330</v>
      </c>
      <c r="E17" s="374"/>
      <c r="F17" s="135"/>
      <c r="G17" s="135"/>
      <c r="H17" s="135"/>
      <c r="I17" s="135"/>
      <c r="J17" s="135"/>
      <c r="K17" s="135"/>
      <c r="L17" s="135"/>
      <c r="M17" s="135"/>
      <c r="N17" s="134">
        <f t="shared" si="0"/>
        <v>0</v>
      </c>
    </row>
    <row r="18" spans="1:14">
      <c r="A18" s="135" t="s">
        <v>186</v>
      </c>
      <c r="B18" s="135" t="s">
        <v>186</v>
      </c>
      <c r="C18" s="135"/>
      <c r="D18" s="135" t="s">
        <v>337</v>
      </c>
      <c r="E18" s="135"/>
      <c r="F18" s="135" t="s">
        <v>338</v>
      </c>
      <c r="G18" s="135"/>
      <c r="H18" s="135"/>
      <c r="I18" s="135"/>
      <c r="J18" s="135"/>
      <c r="K18" s="135"/>
      <c r="L18" s="135"/>
      <c r="M18" s="135"/>
      <c r="N18" s="134">
        <f t="shared" si="0"/>
        <v>0</v>
      </c>
    </row>
    <row r="19" spans="1:14">
      <c r="A19" s="135" t="s">
        <v>246</v>
      </c>
      <c r="B19" s="135" t="s">
        <v>167</v>
      </c>
      <c r="C19" s="135">
        <v>0.4</v>
      </c>
      <c r="D19" s="135" t="s">
        <v>330</v>
      </c>
      <c r="E19" s="135">
        <v>0.2</v>
      </c>
      <c r="F19" s="135" t="s">
        <v>577</v>
      </c>
      <c r="G19" s="135">
        <v>0.2</v>
      </c>
      <c r="H19" s="135" t="s">
        <v>325</v>
      </c>
      <c r="I19" s="135">
        <v>0.5</v>
      </c>
      <c r="J19" s="135"/>
      <c r="K19" s="135"/>
      <c r="L19" s="135"/>
      <c r="M19" s="135"/>
      <c r="N19" s="134">
        <f t="shared" si="0"/>
        <v>1.2999999999999998</v>
      </c>
    </row>
    <row r="20" spans="1:14">
      <c r="A20" s="135" t="s">
        <v>578</v>
      </c>
      <c r="B20" s="162"/>
      <c r="C20" s="162"/>
      <c r="D20" s="162"/>
      <c r="E20" s="162"/>
      <c r="F20" s="162"/>
      <c r="G20" s="163"/>
      <c r="H20" s="163"/>
      <c r="I20" s="377"/>
      <c r="J20" s="377"/>
      <c r="K20" s="378"/>
      <c r="L20" s="377"/>
      <c r="M20" s="378"/>
      <c r="N20" s="164">
        <f t="shared" si="0"/>
        <v>0</v>
      </c>
    </row>
    <row r="21" spans="1:14">
      <c r="A21" s="135" t="s">
        <v>579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4">
        <f t="shared" si="0"/>
        <v>0</v>
      </c>
    </row>
    <row r="22" spans="1:14">
      <c r="A22" s="135" t="s">
        <v>275</v>
      </c>
      <c r="B22" s="135" t="s">
        <v>580</v>
      </c>
      <c r="C22" s="135">
        <v>0.6</v>
      </c>
      <c r="D22" s="135" t="s">
        <v>130</v>
      </c>
      <c r="E22" s="135">
        <v>0.2</v>
      </c>
      <c r="F22" s="135" t="s">
        <v>581</v>
      </c>
      <c r="G22" s="135">
        <v>0.09</v>
      </c>
      <c r="H22" s="135" t="s">
        <v>53</v>
      </c>
      <c r="I22" s="135">
        <v>0.09</v>
      </c>
      <c r="J22" s="135" t="s">
        <v>330</v>
      </c>
      <c r="K22" s="135">
        <v>0.02</v>
      </c>
      <c r="L22" s="135"/>
      <c r="M22" s="135"/>
      <c r="N22" s="134">
        <f t="shared" si="0"/>
        <v>1</v>
      </c>
    </row>
    <row r="23" spans="1:14">
      <c r="A23" s="135" t="s">
        <v>198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4">
        <f t="shared" si="0"/>
        <v>0</v>
      </c>
    </row>
    <row r="24" spans="1:14">
      <c r="A24" s="135" t="s">
        <v>582</v>
      </c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4">
        <f t="shared" si="0"/>
        <v>0</v>
      </c>
    </row>
    <row r="25" spans="1:14">
      <c r="A25" s="135" t="s">
        <v>583</v>
      </c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4">
        <f t="shared" si="0"/>
        <v>0</v>
      </c>
    </row>
    <row r="26" spans="1:14">
      <c r="A26" s="135" t="s">
        <v>584</v>
      </c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4">
        <f t="shared" si="0"/>
        <v>0</v>
      </c>
    </row>
    <row r="27" spans="1:14">
      <c r="A27" s="135" t="s">
        <v>270</v>
      </c>
      <c r="B27" s="135" t="s">
        <v>37</v>
      </c>
      <c r="C27" s="135">
        <v>0.56999999999999995</v>
      </c>
      <c r="D27" s="135" t="s">
        <v>105</v>
      </c>
      <c r="E27" s="135">
        <v>0.2</v>
      </c>
      <c r="F27" s="135" t="s">
        <v>390</v>
      </c>
      <c r="G27" s="135">
        <v>0.02</v>
      </c>
      <c r="H27" s="135" t="s">
        <v>326</v>
      </c>
      <c r="I27" s="135">
        <v>0.12</v>
      </c>
      <c r="J27" s="135" t="s">
        <v>362</v>
      </c>
      <c r="K27" s="135">
        <v>0.12</v>
      </c>
      <c r="L27" s="135"/>
      <c r="M27" s="135"/>
      <c r="N27" s="134">
        <f t="shared" si="0"/>
        <v>1.03</v>
      </c>
    </row>
    <row r="28" spans="1:14">
      <c r="A28" s="135" t="s">
        <v>585</v>
      </c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4">
        <f t="shared" si="0"/>
        <v>0</v>
      </c>
    </row>
    <row r="29" spans="1:14">
      <c r="A29" s="135" t="s">
        <v>273</v>
      </c>
      <c r="B29" s="135" t="s">
        <v>37</v>
      </c>
      <c r="C29" s="135">
        <v>0.42</v>
      </c>
      <c r="D29" s="135" t="s">
        <v>586</v>
      </c>
      <c r="E29" s="135">
        <v>0.35</v>
      </c>
      <c r="F29" s="135" t="s">
        <v>467</v>
      </c>
      <c r="G29" s="135">
        <v>0.23</v>
      </c>
      <c r="H29" s="135" t="s">
        <v>326</v>
      </c>
      <c r="I29" s="135"/>
      <c r="J29" s="135" t="s">
        <v>587</v>
      </c>
      <c r="K29" s="135"/>
      <c r="L29" s="135" t="s">
        <v>130</v>
      </c>
      <c r="M29" s="135"/>
      <c r="N29" s="134">
        <f t="shared" si="0"/>
        <v>1</v>
      </c>
    </row>
    <row r="30" spans="1:14">
      <c r="A30" s="135" t="s">
        <v>286</v>
      </c>
      <c r="B30" s="135" t="s">
        <v>37</v>
      </c>
      <c r="C30" s="135">
        <v>0.42</v>
      </c>
      <c r="D30" s="135" t="s">
        <v>186</v>
      </c>
      <c r="E30" s="135">
        <v>0.2</v>
      </c>
      <c r="F30" s="135" t="s">
        <v>456</v>
      </c>
      <c r="G30" s="135">
        <v>0.33</v>
      </c>
      <c r="H30" s="135" t="s">
        <v>362</v>
      </c>
      <c r="I30" s="135">
        <v>0.05</v>
      </c>
      <c r="J30" s="135"/>
      <c r="K30" s="135"/>
      <c r="L30" s="135"/>
      <c r="M30" s="135"/>
      <c r="N30" s="134">
        <f t="shared" si="0"/>
        <v>1</v>
      </c>
    </row>
    <row r="31" spans="1:14">
      <c r="A31" s="135" t="s">
        <v>271</v>
      </c>
      <c r="B31" s="135" t="s">
        <v>37</v>
      </c>
      <c r="C31" s="135">
        <v>0.42</v>
      </c>
      <c r="D31" s="135" t="s">
        <v>346</v>
      </c>
      <c r="E31" s="135">
        <v>0.2</v>
      </c>
      <c r="F31" s="135" t="s">
        <v>456</v>
      </c>
      <c r="G31" s="135">
        <v>0.33</v>
      </c>
      <c r="H31" s="135" t="s">
        <v>131</v>
      </c>
      <c r="I31" s="135">
        <v>0.05</v>
      </c>
      <c r="J31" s="135"/>
      <c r="K31" s="135"/>
      <c r="L31" s="135"/>
      <c r="M31" s="135"/>
      <c r="N31" s="134">
        <f t="shared" si="0"/>
        <v>1</v>
      </c>
    </row>
    <row r="32" spans="1:14">
      <c r="A32" s="135" t="s">
        <v>588</v>
      </c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4">
        <f t="shared" si="0"/>
        <v>0</v>
      </c>
    </row>
    <row r="33" spans="1:14">
      <c r="A33" s="135" t="s">
        <v>589</v>
      </c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4">
        <f t="shared" si="0"/>
        <v>0</v>
      </c>
    </row>
    <row r="34" spans="1:14">
      <c r="A34" s="137" t="s">
        <v>259</v>
      </c>
      <c r="B34" s="135" t="s">
        <v>37</v>
      </c>
      <c r="C34" s="135">
        <v>0.5</v>
      </c>
      <c r="D34" s="135" t="s">
        <v>456</v>
      </c>
      <c r="E34" s="135">
        <v>0.35</v>
      </c>
      <c r="F34" s="135" t="s">
        <v>590</v>
      </c>
      <c r="G34" s="135">
        <v>0.15</v>
      </c>
      <c r="H34" s="135" t="s">
        <v>130</v>
      </c>
      <c r="I34" s="135"/>
      <c r="J34" s="135" t="s">
        <v>131</v>
      </c>
      <c r="K34" s="135"/>
      <c r="L34" s="135" t="s">
        <v>323</v>
      </c>
      <c r="M34" s="135"/>
      <c r="N34" s="134">
        <f t="shared" si="0"/>
        <v>1</v>
      </c>
    </row>
    <row r="35" spans="1:14">
      <c r="A35" s="137" t="s">
        <v>255</v>
      </c>
      <c r="B35" s="135" t="s">
        <v>37</v>
      </c>
      <c r="C35" s="135">
        <v>0.4</v>
      </c>
      <c r="D35" s="135" t="s">
        <v>456</v>
      </c>
      <c r="E35" s="135">
        <v>0.2</v>
      </c>
      <c r="F35" s="135" t="s">
        <v>326</v>
      </c>
      <c r="G35" s="135">
        <v>0.15</v>
      </c>
      <c r="H35" s="135" t="s">
        <v>350</v>
      </c>
      <c r="I35" s="135">
        <v>0.1</v>
      </c>
      <c r="J35" s="135" t="s">
        <v>130</v>
      </c>
      <c r="K35" s="135">
        <v>0.1</v>
      </c>
      <c r="L35" s="135" t="s">
        <v>131</v>
      </c>
      <c r="M35" s="135">
        <v>0.05</v>
      </c>
      <c r="N35" s="134">
        <f t="shared" si="0"/>
        <v>1</v>
      </c>
    </row>
    <row r="36" spans="1:14">
      <c r="A36" s="135" t="s">
        <v>302</v>
      </c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4">
        <f t="shared" si="0"/>
        <v>0</v>
      </c>
    </row>
    <row r="37" spans="1:14">
      <c r="A37" s="134" t="s">
        <v>223</v>
      </c>
      <c r="B37" s="134" t="s">
        <v>405</v>
      </c>
      <c r="C37" s="134" t="s">
        <v>406</v>
      </c>
      <c r="D37" s="134" t="s">
        <v>407</v>
      </c>
      <c r="E37" s="134" t="s">
        <v>408</v>
      </c>
      <c r="F37" s="134" t="s">
        <v>409</v>
      </c>
      <c r="G37" s="134" t="s">
        <v>410</v>
      </c>
      <c r="H37" s="134" t="s">
        <v>411</v>
      </c>
      <c r="I37" s="134" t="s">
        <v>412</v>
      </c>
      <c r="J37" s="134" t="s">
        <v>413</v>
      </c>
      <c r="K37" s="134" t="s">
        <v>414</v>
      </c>
      <c r="L37" s="134" t="s">
        <v>415</v>
      </c>
      <c r="M37" s="134" t="s">
        <v>416</v>
      </c>
      <c r="N37" s="134" t="s">
        <v>417</v>
      </c>
    </row>
    <row r="38" spans="1:14">
      <c r="A38" s="135" t="s">
        <v>222</v>
      </c>
      <c r="B38" s="153" t="s">
        <v>429</v>
      </c>
      <c r="C38" s="375">
        <v>0.36</v>
      </c>
      <c r="D38" s="153" t="s">
        <v>113</v>
      </c>
      <c r="E38" s="153">
        <v>0.1</v>
      </c>
      <c r="F38" s="135" t="s">
        <v>396</v>
      </c>
      <c r="G38" s="135">
        <v>0.16</v>
      </c>
      <c r="H38" s="135" t="s">
        <v>430</v>
      </c>
      <c r="I38" s="135">
        <v>0.15</v>
      </c>
      <c r="J38" s="135" t="s">
        <v>326</v>
      </c>
      <c r="K38" s="135">
        <v>0.05</v>
      </c>
      <c r="L38" s="135" t="s">
        <v>431</v>
      </c>
      <c r="M38" s="135">
        <v>0.18</v>
      </c>
      <c r="N38" s="134">
        <f t="shared" ref="N38:N42" si="1">M38+K38+I38+G38+E38+C38</f>
        <v>1</v>
      </c>
    </row>
    <row r="39" spans="1:14">
      <c r="A39" s="137" t="s">
        <v>254</v>
      </c>
      <c r="B39" s="153" t="s">
        <v>591</v>
      </c>
      <c r="C39" s="375">
        <v>0.4</v>
      </c>
      <c r="D39" s="153" t="s">
        <v>57</v>
      </c>
      <c r="E39" s="153">
        <v>0.13</v>
      </c>
      <c r="F39" s="135" t="s">
        <v>592</v>
      </c>
      <c r="G39" s="135">
        <v>0.13</v>
      </c>
      <c r="H39" s="135" t="s">
        <v>130</v>
      </c>
      <c r="I39" s="135">
        <v>0.2</v>
      </c>
      <c r="J39" s="135" t="s">
        <v>397</v>
      </c>
      <c r="K39" s="135">
        <v>7.0000000000000007E-2</v>
      </c>
      <c r="L39" s="135" t="s">
        <v>431</v>
      </c>
      <c r="M39" s="135">
        <v>7.0000000000000007E-2</v>
      </c>
      <c r="N39" s="134">
        <f t="shared" si="1"/>
        <v>1</v>
      </c>
    </row>
    <row r="40" spans="1:14">
      <c r="A40" s="135" t="s">
        <v>266</v>
      </c>
      <c r="B40" s="153" t="s">
        <v>429</v>
      </c>
      <c r="C40" s="375">
        <v>0.36</v>
      </c>
      <c r="D40" s="153" t="s">
        <v>186</v>
      </c>
      <c r="E40" s="153">
        <v>0.1</v>
      </c>
      <c r="F40" s="135" t="s">
        <v>396</v>
      </c>
      <c r="G40" s="135">
        <v>0.16</v>
      </c>
      <c r="H40" s="135" t="s">
        <v>430</v>
      </c>
      <c r="I40" s="135">
        <v>0.15</v>
      </c>
      <c r="J40" s="135" t="s">
        <v>326</v>
      </c>
      <c r="K40" s="135">
        <v>0.05</v>
      </c>
      <c r="L40" s="135" t="s">
        <v>431</v>
      </c>
      <c r="M40" s="135">
        <v>0.18</v>
      </c>
      <c r="N40" s="134">
        <f t="shared" si="1"/>
        <v>1</v>
      </c>
    </row>
    <row r="41" spans="1:14">
      <c r="A41" s="135" t="s">
        <v>432</v>
      </c>
      <c r="B41" s="153" t="s">
        <v>429</v>
      </c>
      <c r="C41" s="375">
        <v>0.36</v>
      </c>
      <c r="D41" s="153" t="s">
        <v>433</v>
      </c>
      <c r="E41" s="153">
        <v>0.1</v>
      </c>
      <c r="F41" s="135" t="s">
        <v>186</v>
      </c>
      <c r="G41" s="135">
        <v>0.16</v>
      </c>
      <c r="H41" s="135" t="s">
        <v>430</v>
      </c>
      <c r="I41" s="135">
        <v>0.15</v>
      </c>
      <c r="J41" s="135" t="s">
        <v>326</v>
      </c>
      <c r="K41" s="135">
        <v>0.05</v>
      </c>
      <c r="L41" s="135" t="s">
        <v>431</v>
      </c>
      <c r="M41" s="135">
        <v>0.18</v>
      </c>
      <c r="N41" s="134">
        <f t="shared" si="1"/>
        <v>1</v>
      </c>
    </row>
    <row r="42" spans="1:14">
      <c r="A42" s="390" t="s">
        <v>293</v>
      </c>
      <c r="B42" s="391" t="s">
        <v>418</v>
      </c>
      <c r="C42" s="392">
        <v>0.8</v>
      </c>
      <c r="D42" s="391" t="s">
        <v>419</v>
      </c>
      <c r="E42" s="391">
        <v>0.2</v>
      </c>
      <c r="F42" s="390" t="s">
        <v>420</v>
      </c>
      <c r="G42" s="390"/>
      <c r="H42" s="390"/>
      <c r="I42" s="390"/>
      <c r="J42" s="390"/>
      <c r="K42" s="390"/>
      <c r="L42" s="390"/>
      <c r="M42" s="390"/>
      <c r="N42" s="134">
        <f t="shared" si="1"/>
        <v>1</v>
      </c>
    </row>
    <row r="43" spans="1:14" ht="13.5" customHeight="1">
      <c r="A43" s="165" t="s">
        <v>265</v>
      </c>
      <c r="B43" s="166" t="s">
        <v>593</v>
      </c>
      <c r="C43" s="167">
        <v>0.9</v>
      </c>
      <c r="D43" s="166" t="s">
        <v>337</v>
      </c>
      <c r="E43" s="167">
        <v>0.05</v>
      </c>
      <c r="F43" s="166" t="s">
        <v>379</v>
      </c>
      <c r="G43" s="167">
        <v>0.01</v>
      </c>
      <c r="H43" s="166" t="s">
        <v>396</v>
      </c>
      <c r="I43" s="167">
        <v>0.05</v>
      </c>
      <c r="J43" s="166"/>
      <c r="K43" s="166"/>
      <c r="L43" s="166"/>
      <c r="M43" s="166"/>
      <c r="N43" s="167">
        <v>1.01</v>
      </c>
    </row>
    <row r="44" spans="1:14" ht="13.5" customHeight="1">
      <c r="A44" s="389" t="s">
        <v>291</v>
      </c>
      <c r="B44" s="166" t="s">
        <v>594</v>
      </c>
      <c r="C44" s="167">
        <v>0.28000000000000003</v>
      </c>
      <c r="D44" s="166" t="s">
        <v>102</v>
      </c>
      <c r="E44" s="167">
        <v>0.19</v>
      </c>
      <c r="F44" s="166" t="s">
        <v>418</v>
      </c>
      <c r="G44" s="167">
        <v>0.12</v>
      </c>
      <c r="H44" s="166" t="s">
        <v>426</v>
      </c>
      <c r="I44" s="167">
        <v>0.24</v>
      </c>
      <c r="J44" s="166" t="s">
        <v>326</v>
      </c>
      <c r="K44" s="166">
        <v>0.19</v>
      </c>
      <c r="L44" s="166"/>
      <c r="M44" s="166"/>
      <c r="N44" s="167">
        <v>1.01</v>
      </c>
    </row>
    <row r="45" spans="1:14">
      <c r="A45" s="135" t="s">
        <v>161</v>
      </c>
      <c r="B45" s="153" t="s">
        <v>595</v>
      </c>
      <c r="C45" s="375">
        <v>0.4</v>
      </c>
      <c r="D45" s="168" t="s">
        <v>596</v>
      </c>
      <c r="E45" s="379">
        <v>0.4</v>
      </c>
      <c r="F45" s="153" t="s">
        <v>337</v>
      </c>
      <c r="G45" s="379">
        <v>0.04</v>
      </c>
      <c r="H45" s="153" t="s">
        <v>597</v>
      </c>
      <c r="I45" s="379">
        <v>0.06</v>
      </c>
      <c r="J45" s="153" t="s">
        <v>379</v>
      </c>
      <c r="K45" s="379">
        <v>0.02</v>
      </c>
      <c r="L45" s="153" t="s">
        <v>310</v>
      </c>
      <c r="M45" s="153">
        <v>0.08</v>
      </c>
      <c r="N45" s="134">
        <f t="shared" ref="N45:N53" si="2">M45+K45+I45+G45+E45+C45</f>
        <v>1</v>
      </c>
    </row>
    <row r="46" spans="1:14">
      <c r="A46" s="135" t="s">
        <v>289</v>
      </c>
      <c r="B46" s="153" t="s">
        <v>598</v>
      </c>
      <c r="C46" s="375">
        <v>0.33</v>
      </c>
      <c r="D46" s="168" t="s">
        <v>599</v>
      </c>
      <c r="E46" s="379">
        <v>0.17</v>
      </c>
      <c r="F46" s="153" t="s">
        <v>318</v>
      </c>
      <c r="G46" s="379">
        <v>0.33</v>
      </c>
      <c r="H46" s="153" t="s">
        <v>427</v>
      </c>
      <c r="I46" s="379">
        <v>0.17</v>
      </c>
      <c r="J46" s="153" t="s">
        <v>527</v>
      </c>
      <c r="K46" s="379"/>
      <c r="L46" s="153" t="s">
        <v>528</v>
      </c>
      <c r="M46" s="153"/>
      <c r="N46" s="134">
        <f t="shared" si="2"/>
        <v>1</v>
      </c>
    </row>
    <row r="47" spans="1:14">
      <c r="A47" s="153" t="s">
        <v>164</v>
      </c>
      <c r="B47" s="153" t="s">
        <v>99</v>
      </c>
      <c r="C47" s="153">
        <v>0.25</v>
      </c>
      <c r="D47" s="153" t="s">
        <v>468</v>
      </c>
      <c r="E47" s="153">
        <v>0.3</v>
      </c>
      <c r="F47" s="153" t="s">
        <v>326</v>
      </c>
      <c r="G47" s="135">
        <v>0.18</v>
      </c>
      <c r="H47" s="135" t="s">
        <v>424</v>
      </c>
      <c r="I47" s="135">
        <v>0.2</v>
      </c>
      <c r="J47" s="135" t="s">
        <v>600</v>
      </c>
      <c r="K47" s="135">
        <v>0.05</v>
      </c>
      <c r="L47" s="135" t="s">
        <v>601</v>
      </c>
      <c r="M47" s="135">
        <v>0.02</v>
      </c>
      <c r="N47" s="134">
        <f t="shared" si="2"/>
        <v>1</v>
      </c>
    </row>
    <row r="48" spans="1:14">
      <c r="A48" s="135" t="s">
        <v>195</v>
      </c>
      <c r="B48" s="152" t="s">
        <v>424</v>
      </c>
      <c r="C48" s="152">
        <v>0.16</v>
      </c>
      <c r="D48" s="152" t="s">
        <v>425</v>
      </c>
      <c r="E48" s="152">
        <v>0.25</v>
      </c>
      <c r="F48" s="152" t="s">
        <v>426</v>
      </c>
      <c r="G48" s="152">
        <v>0.13</v>
      </c>
      <c r="H48" s="152" t="s">
        <v>427</v>
      </c>
      <c r="I48" s="152">
        <v>0.13</v>
      </c>
      <c r="J48" s="152" t="s">
        <v>418</v>
      </c>
      <c r="K48" s="152">
        <v>0.13</v>
      </c>
      <c r="L48" s="152" t="s">
        <v>428</v>
      </c>
      <c r="M48" s="152">
        <v>0.2</v>
      </c>
      <c r="N48" s="134">
        <f t="shared" si="2"/>
        <v>1</v>
      </c>
    </row>
    <row r="49" spans="1:19">
      <c r="A49" s="134" t="s">
        <v>272</v>
      </c>
      <c r="B49" s="134" t="s">
        <v>602</v>
      </c>
      <c r="C49" s="134">
        <v>0.25</v>
      </c>
      <c r="D49" s="134" t="s">
        <v>528</v>
      </c>
      <c r="E49" s="134">
        <v>0.13</v>
      </c>
      <c r="F49" s="134" t="s">
        <v>186</v>
      </c>
      <c r="G49" s="134">
        <v>0.17</v>
      </c>
      <c r="H49" s="134" t="s">
        <v>67</v>
      </c>
      <c r="I49" s="134">
        <v>0.17</v>
      </c>
      <c r="J49" s="134" t="s">
        <v>418</v>
      </c>
      <c r="K49" s="134">
        <v>0.12</v>
      </c>
      <c r="L49" s="134" t="s">
        <v>603</v>
      </c>
      <c r="M49" s="134">
        <v>0.16</v>
      </c>
      <c r="N49" s="134">
        <f t="shared" si="2"/>
        <v>1</v>
      </c>
    </row>
    <row r="50" spans="1:19">
      <c r="A50" s="134" t="s">
        <v>252</v>
      </c>
      <c r="B50" s="134" t="s">
        <v>604</v>
      </c>
      <c r="C50" s="134" t="s">
        <v>100</v>
      </c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 t="e">
        <f t="shared" si="2"/>
        <v>#VALUE!</v>
      </c>
    </row>
    <row r="51" spans="1:19">
      <c r="A51" s="134"/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>
        <f t="shared" si="2"/>
        <v>0</v>
      </c>
    </row>
    <row r="52" spans="1:19">
      <c r="A52" s="134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>
        <f t="shared" si="2"/>
        <v>0</v>
      </c>
    </row>
    <row r="53" spans="1:19">
      <c r="A53" s="134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>
        <f t="shared" si="2"/>
        <v>0</v>
      </c>
    </row>
    <row r="56" spans="1:19">
      <c r="Q56" s="54" t="s">
        <v>342</v>
      </c>
      <c r="R56" s="54"/>
      <c r="S56" s="54" t="e">
        <f t="shared" ref="S56:S62" si="3">(R56/$R$62)*100</f>
        <v>#DIV/0!</v>
      </c>
    </row>
    <row r="57" spans="1:19">
      <c r="Q57" s="54" t="s">
        <v>605</v>
      </c>
      <c r="R57" s="54"/>
      <c r="S57" s="54" t="e">
        <f t="shared" si="3"/>
        <v>#DIV/0!</v>
      </c>
    </row>
    <row r="58" spans="1:19">
      <c r="Q58" s="54" t="s">
        <v>606</v>
      </c>
      <c r="R58" s="54"/>
      <c r="S58" s="54" t="e">
        <f t="shared" si="3"/>
        <v>#DIV/0!</v>
      </c>
    </row>
    <row r="59" spans="1:19">
      <c r="Q59" s="54" t="s">
        <v>607</v>
      </c>
      <c r="S59" s="54" t="e">
        <f t="shared" si="3"/>
        <v>#DIV/0!</v>
      </c>
    </row>
    <row r="60" spans="1:19">
      <c r="Q60" s="54" t="s">
        <v>608</v>
      </c>
      <c r="S60" s="54" t="e">
        <f t="shared" si="3"/>
        <v>#DIV/0!</v>
      </c>
    </row>
    <row r="61" spans="1:19">
      <c r="Q61" s="54" t="s">
        <v>574</v>
      </c>
      <c r="S61" s="54" t="e">
        <f t="shared" si="3"/>
        <v>#DIV/0!</v>
      </c>
    </row>
    <row r="62" spans="1:19">
      <c r="Q62" s="54" t="s">
        <v>10</v>
      </c>
      <c r="R62" s="54">
        <f>SUM(R56:R61)</f>
        <v>0</v>
      </c>
      <c r="S62" s="54" t="e">
        <f t="shared" si="3"/>
        <v>#DIV/0!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outlinePr summaryBelow="0" summaryRight="0"/>
  </sheetPr>
  <dimension ref="A1:N33"/>
  <sheetViews>
    <sheetView workbookViewId="0">
      <selection activeCell="P42" sqref="P42"/>
    </sheetView>
  </sheetViews>
  <sheetFormatPr baseColWidth="10" defaultColWidth="14.42578125" defaultRowHeight="15" customHeight="1"/>
  <sheetData>
    <row r="1" spans="1:14">
      <c r="A1" s="134" t="s">
        <v>223</v>
      </c>
      <c r="B1" s="134" t="s">
        <v>405</v>
      </c>
      <c r="C1" s="134" t="s">
        <v>406</v>
      </c>
      <c r="D1" s="134" t="s">
        <v>407</v>
      </c>
      <c r="E1" s="134" t="s">
        <v>408</v>
      </c>
      <c r="F1" s="134" t="s">
        <v>409</v>
      </c>
      <c r="G1" s="134" t="s">
        <v>410</v>
      </c>
      <c r="H1" s="134" t="s">
        <v>411</v>
      </c>
      <c r="I1" s="134" t="s">
        <v>412</v>
      </c>
      <c r="J1" s="134" t="s">
        <v>413</v>
      </c>
      <c r="K1" s="134" t="s">
        <v>414</v>
      </c>
      <c r="L1" s="134" t="s">
        <v>415</v>
      </c>
      <c r="M1" s="134" t="s">
        <v>416</v>
      </c>
      <c r="N1" s="134" t="s">
        <v>417</v>
      </c>
    </row>
    <row r="2" spans="1:14">
      <c r="A2" s="134" t="s">
        <v>149</v>
      </c>
      <c r="B2" s="161" t="s">
        <v>551</v>
      </c>
      <c r="C2" s="161">
        <v>1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>
        <f t="shared" ref="N2:N33" si="0">M2+K2+I2+G2+E2+C2</f>
        <v>1</v>
      </c>
    </row>
    <row r="3" spans="1:14">
      <c r="A3" s="134" t="s">
        <v>160</v>
      </c>
      <c r="B3" s="169" t="s">
        <v>609</v>
      </c>
      <c r="C3" s="169">
        <v>0.91</v>
      </c>
      <c r="D3" s="134" t="s">
        <v>576</v>
      </c>
      <c r="E3" s="134">
        <v>0.09</v>
      </c>
      <c r="F3" s="134"/>
      <c r="G3" s="134"/>
      <c r="H3" s="134"/>
      <c r="I3" s="134"/>
      <c r="J3" s="134"/>
      <c r="K3" s="134"/>
      <c r="L3" s="134"/>
      <c r="M3" s="134"/>
      <c r="N3" s="134">
        <f t="shared" si="0"/>
        <v>1</v>
      </c>
    </row>
    <row r="4" spans="1:14">
      <c r="A4" s="134" t="s">
        <v>610</v>
      </c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>
        <f t="shared" si="0"/>
        <v>0</v>
      </c>
    </row>
    <row r="5" spans="1:14">
      <c r="A5" s="134" t="s">
        <v>611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>
        <f t="shared" si="0"/>
        <v>0</v>
      </c>
    </row>
    <row r="6" spans="1:14">
      <c r="A6" s="134" t="s">
        <v>612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>
        <f t="shared" si="0"/>
        <v>0</v>
      </c>
    </row>
    <row r="7" spans="1:14">
      <c r="A7" s="134" t="s">
        <v>497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>
        <f t="shared" si="0"/>
        <v>0</v>
      </c>
    </row>
    <row r="8" spans="1:14">
      <c r="A8" s="134" t="s">
        <v>613</v>
      </c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>
        <f t="shared" si="0"/>
        <v>0</v>
      </c>
    </row>
    <row r="9" spans="1:14">
      <c r="A9" s="134" t="s">
        <v>614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>
        <f t="shared" si="0"/>
        <v>0</v>
      </c>
    </row>
    <row r="10" spans="1:14">
      <c r="A10" s="134" t="s">
        <v>615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>
        <f t="shared" si="0"/>
        <v>0</v>
      </c>
    </row>
    <row r="11" spans="1:14">
      <c r="A11" s="134" t="s">
        <v>169</v>
      </c>
      <c r="B11" s="134" t="s">
        <v>169</v>
      </c>
      <c r="C11" s="134">
        <v>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>
        <f t="shared" si="0"/>
        <v>1</v>
      </c>
    </row>
    <row r="12" spans="1:14">
      <c r="A12" s="134" t="s">
        <v>343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>
        <f t="shared" si="0"/>
        <v>0</v>
      </c>
    </row>
    <row r="13" spans="1:14">
      <c r="A13" s="134" t="s">
        <v>167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>
        <f t="shared" si="0"/>
        <v>0</v>
      </c>
    </row>
    <row r="14" spans="1:14">
      <c r="A14" s="134" t="s">
        <v>184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>
        <f t="shared" si="0"/>
        <v>0</v>
      </c>
    </row>
    <row r="15" spans="1:14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>
        <f t="shared" si="0"/>
        <v>0</v>
      </c>
    </row>
    <row r="16" spans="1:14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>
        <f t="shared" si="0"/>
        <v>0</v>
      </c>
    </row>
    <row r="17" spans="1:14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>
        <f t="shared" si="0"/>
        <v>0</v>
      </c>
    </row>
    <row r="18" spans="1:14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>
        <f t="shared" si="0"/>
        <v>0</v>
      </c>
    </row>
    <row r="19" spans="1:14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>
        <f t="shared" si="0"/>
        <v>0</v>
      </c>
    </row>
    <row r="20" spans="1:14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>
        <f t="shared" si="0"/>
        <v>0</v>
      </c>
    </row>
    <row r="21" spans="1:14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>
        <f t="shared" si="0"/>
        <v>0</v>
      </c>
    </row>
    <row r="22" spans="1:14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>
        <f t="shared" si="0"/>
        <v>0</v>
      </c>
    </row>
    <row r="23" spans="1:14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>
        <f t="shared" si="0"/>
        <v>0</v>
      </c>
    </row>
    <row r="24" spans="1:14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>
        <f t="shared" si="0"/>
        <v>0</v>
      </c>
    </row>
    <row r="25" spans="1:14">
      <c r="A25" s="134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>
        <f t="shared" si="0"/>
        <v>0</v>
      </c>
    </row>
    <row r="26" spans="1:14">
      <c r="A26" s="134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>
        <f t="shared" si="0"/>
        <v>0</v>
      </c>
    </row>
    <row r="27" spans="1:14">
      <c r="A27" s="134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>
        <f t="shared" si="0"/>
        <v>0</v>
      </c>
    </row>
    <row r="28" spans="1:14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>
        <f t="shared" si="0"/>
        <v>0</v>
      </c>
    </row>
    <row r="29" spans="1:14">
      <c r="A29" s="134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>
        <f t="shared" si="0"/>
        <v>0</v>
      </c>
    </row>
    <row r="30" spans="1:14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>
        <f t="shared" si="0"/>
        <v>0</v>
      </c>
    </row>
    <row r="31" spans="1:14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>
        <f t="shared" si="0"/>
        <v>0</v>
      </c>
    </row>
    <row r="32" spans="1:14">
      <c r="A32" s="134"/>
      <c r="B32" s="134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>
        <f t="shared" si="0"/>
        <v>0</v>
      </c>
    </row>
    <row r="33" spans="1:14">
      <c r="A33" s="134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>
        <f t="shared" si="0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outlinePr summaryBelow="0" summaryRight="0"/>
  </sheetPr>
  <dimension ref="A1:N33"/>
  <sheetViews>
    <sheetView workbookViewId="0">
      <selection activeCell="C67" sqref="C67"/>
    </sheetView>
  </sheetViews>
  <sheetFormatPr baseColWidth="10" defaultColWidth="14.42578125" defaultRowHeight="15" customHeight="1"/>
  <sheetData>
    <row r="1" spans="1:14">
      <c r="A1" s="134" t="s">
        <v>223</v>
      </c>
      <c r="B1" s="134" t="s">
        <v>405</v>
      </c>
      <c r="C1" s="134" t="s">
        <v>406</v>
      </c>
      <c r="D1" s="134" t="s">
        <v>407</v>
      </c>
      <c r="E1" s="134" t="s">
        <v>408</v>
      </c>
      <c r="F1" s="134" t="s">
        <v>409</v>
      </c>
      <c r="G1" s="134" t="s">
        <v>410</v>
      </c>
      <c r="H1" s="134" t="s">
        <v>411</v>
      </c>
      <c r="I1" s="134" t="s">
        <v>412</v>
      </c>
      <c r="J1" s="134" t="s">
        <v>413</v>
      </c>
      <c r="K1" s="134" t="s">
        <v>414</v>
      </c>
      <c r="L1" s="134" t="s">
        <v>415</v>
      </c>
      <c r="M1" s="134" t="s">
        <v>416</v>
      </c>
      <c r="N1" s="134" t="s">
        <v>417</v>
      </c>
    </row>
    <row r="2" spans="1:14">
      <c r="A2" s="134" t="s">
        <v>197</v>
      </c>
      <c r="B2" s="161" t="s">
        <v>616</v>
      </c>
      <c r="C2" s="161">
        <v>0.86</v>
      </c>
      <c r="D2" s="161" t="s">
        <v>310</v>
      </c>
      <c r="E2" s="161">
        <v>0.01</v>
      </c>
      <c r="F2" s="161" t="s">
        <v>617</v>
      </c>
      <c r="G2" s="161">
        <v>1.4999999999999999E-2</v>
      </c>
      <c r="H2" s="161" t="s">
        <v>328</v>
      </c>
      <c r="I2" s="161">
        <v>1.4999999999999999E-2</v>
      </c>
      <c r="J2" s="161" t="s">
        <v>618</v>
      </c>
      <c r="K2" s="161">
        <v>0.1</v>
      </c>
      <c r="L2" s="161"/>
      <c r="M2" s="161"/>
      <c r="N2" s="134">
        <f t="shared" ref="N2:N31" si="0">M2+K2+I2+G2+E2+C2</f>
        <v>1</v>
      </c>
    </row>
    <row r="3" spans="1:14">
      <c r="A3" s="134" t="s">
        <v>150</v>
      </c>
      <c r="B3" s="169" t="s">
        <v>619</v>
      </c>
      <c r="C3" s="169">
        <v>1</v>
      </c>
      <c r="D3" s="169"/>
      <c r="E3" s="169"/>
      <c r="F3" s="169"/>
      <c r="G3" s="170"/>
      <c r="H3" s="170"/>
      <c r="I3" s="380"/>
      <c r="J3" s="380"/>
      <c r="K3" s="381"/>
      <c r="L3" s="380"/>
      <c r="M3" s="381"/>
      <c r="N3" s="164">
        <f t="shared" si="0"/>
        <v>1</v>
      </c>
    </row>
    <row r="4" spans="1:14">
      <c r="A4" s="134" t="s">
        <v>192</v>
      </c>
      <c r="B4" s="134" t="s">
        <v>368</v>
      </c>
      <c r="C4" s="134">
        <v>0.2</v>
      </c>
      <c r="D4" s="134" t="s">
        <v>61</v>
      </c>
      <c r="E4" s="134">
        <v>0.45</v>
      </c>
      <c r="F4" s="134" t="s">
        <v>597</v>
      </c>
      <c r="G4" s="134">
        <v>0.3</v>
      </c>
      <c r="H4" s="134" t="s">
        <v>402</v>
      </c>
      <c r="I4" s="134">
        <v>0.05</v>
      </c>
      <c r="J4" s="134" t="s">
        <v>620</v>
      </c>
      <c r="K4" s="134">
        <v>1E-3</v>
      </c>
      <c r="L4" s="134" t="s">
        <v>561</v>
      </c>
      <c r="M4" s="134">
        <v>1E-3</v>
      </c>
      <c r="N4" s="134">
        <f t="shared" si="0"/>
        <v>1.002</v>
      </c>
    </row>
    <row r="5" spans="1:14">
      <c r="A5" s="134" t="s">
        <v>288</v>
      </c>
      <c r="B5" s="134" t="s">
        <v>621</v>
      </c>
      <c r="C5" s="134"/>
      <c r="D5" s="134" t="s">
        <v>371</v>
      </c>
      <c r="E5" s="134"/>
      <c r="F5" s="134"/>
      <c r="G5" s="134"/>
      <c r="H5" s="134"/>
      <c r="I5" s="134"/>
      <c r="J5" s="134"/>
      <c r="K5" s="134"/>
      <c r="L5" s="134"/>
      <c r="M5" s="134"/>
      <c r="N5" s="134">
        <f t="shared" si="0"/>
        <v>0</v>
      </c>
    </row>
    <row r="6" spans="1:14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>
        <f t="shared" si="0"/>
        <v>0</v>
      </c>
    </row>
    <row r="7" spans="1:14">
      <c r="A7" s="134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>
        <f t="shared" si="0"/>
        <v>0</v>
      </c>
    </row>
    <row r="8" spans="1:14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>
        <f t="shared" si="0"/>
        <v>0</v>
      </c>
    </row>
    <row r="9" spans="1:14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>
        <f t="shared" si="0"/>
        <v>0</v>
      </c>
    </row>
    <row r="10" spans="1:14">
      <c r="A10" s="134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>
        <f t="shared" si="0"/>
        <v>0</v>
      </c>
    </row>
    <row r="11" spans="1:14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>
        <f t="shared" si="0"/>
        <v>0</v>
      </c>
    </row>
    <row r="12" spans="1:14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>
        <f t="shared" si="0"/>
        <v>0</v>
      </c>
    </row>
    <row r="13" spans="1:14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>
        <f t="shared" si="0"/>
        <v>0</v>
      </c>
    </row>
    <row r="14" spans="1:14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>
        <f t="shared" si="0"/>
        <v>0</v>
      </c>
    </row>
    <row r="15" spans="1:14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>
        <f t="shared" si="0"/>
        <v>0</v>
      </c>
    </row>
    <row r="16" spans="1:14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>
        <f t="shared" si="0"/>
        <v>0</v>
      </c>
    </row>
    <row r="17" spans="1:14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>
        <f t="shared" si="0"/>
        <v>0</v>
      </c>
    </row>
    <row r="18" spans="1:14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>
        <f t="shared" si="0"/>
        <v>0</v>
      </c>
    </row>
    <row r="19" spans="1:14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>
        <f t="shared" si="0"/>
        <v>0</v>
      </c>
    </row>
    <row r="20" spans="1:14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>
        <f t="shared" si="0"/>
        <v>0</v>
      </c>
    </row>
    <row r="21" spans="1:14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>
        <f t="shared" si="0"/>
        <v>0</v>
      </c>
    </row>
    <row r="22" spans="1:14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>
        <f t="shared" si="0"/>
        <v>0</v>
      </c>
    </row>
    <row r="23" spans="1:14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>
        <f t="shared" si="0"/>
        <v>0</v>
      </c>
    </row>
    <row r="24" spans="1:14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>
        <f t="shared" si="0"/>
        <v>0</v>
      </c>
    </row>
    <row r="25" spans="1:14">
      <c r="A25" s="134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>
        <f t="shared" si="0"/>
        <v>0</v>
      </c>
    </row>
    <row r="26" spans="1:14">
      <c r="A26" s="134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>
        <f t="shared" si="0"/>
        <v>0</v>
      </c>
    </row>
    <row r="27" spans="1:14">
      <c r="A27" s="134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>
        <f t="shared" si="0"/>
        <v>0</v>
      </c>
    </row>
    <row r="28" spans="1:14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>
        <f t="shared" si="0"/>
        <v>0</v>
      </c>
    </row>
    <row r="29" spans="1:14">
      <c r="A29" s="134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>
        <f t="shared" si="0"/>
        <v>0</v>
      </c>
    </row>
    <row r="30" spans="1:14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>
        <f t="shared" si="0"/>
        <v>0</v>
      </c>
    </row>
    <row r="31" spans="1:14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>
        <f t="shared" si="0"/>
        <v>0</v>
      </c>
    </row>
    <row r="32" spans="1:14"/>
    <row r="33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FFFF00"/>
  </sheetPr>
  <dimension ref="A1:Q34"/>
  <sheetViews>
    <sheetView workbookViewId="0"/>
  </sheetViews>
  <sheetFormatPr baseColWidth="10" defaultColWidth="14.42578125" defaultRowHeight="15" customHeight="1"/>
  <cols>
    <col min="1" max="26" width="10.7109375" customWidth="1"/>
  </cols>
  <sheetData>
    <row r="1" spans="1:17" ht="18.75">
      <c r="A1" s="441" t="s">
        <v>118</v>
      </c>
      <c r="B1" s="431"/>
      <c r="C1" s="431"/>
      <c r="D1" s="431"/>
      <c r="E1" s="431"/>
      <c r="F1" s="432"/>
    </row>
    <row r="2" spans="1:17" ht="18.75">
      <c r="A2" s="441" t="s">
        <v>139</v>
      </c>
      <c r="B2" s="431"/>
      <c r="C2" s="431"/>
      <c r="D2" s="431"/>
      <c r="E2" s="431"/>
      <c r="F2" s="432"/>
    </row>
    <row r="3" spans="1:17" ht="18.75">
      <c r="A3" s="441" t="s">
        <v>140</v>
      </c>
      <c r="B3" s="431"/>
      <c r="C3" s="431"/>
      <c r="D3" s="431"/>
      <c r="E3" s="431"/>
      <c r="F3" s="432"/>
    </row>
    <row r="4" spans="1:17" ht="18.75">
      <c r="A4" s="441" t="s">
        <v>11</v>
      </c>
      <c r="B4" s="431"/>
      <c r="C4" s="431"/>
      <c r="D4" s="431"/>
      <c r="E4" s="431"/>
      <c r="F4" s="432"/>
    </row>
    <row r="5" spans="1:17" ht="18.75">
      <c r="A5" s="441" t="s">
        <v>89</v>
      </c>
      <c r="B5" s="431"/>
      <c r="C5" s="431"/>
      <c r="D5" s="431"/>
      <c r="E5" s="431"/>
      <c r="F5" s="432"/>
    </row>
    <row r="6" spans="1:17" ht="18.75">
      <c r="A6" s="476"/>
      <c r="B6" s="477"/>
      <c r="C6" s="477"/>
      <c r="D6" s="477"/>
      <c r="E6" s="477"/>
      <c r="F6" s="477"/>
      <c r="Q6" s="54">
        <v>2</v>
      </c>
    </row>
    <row r="7" spans="1:17">
      <c r="A7" s="3"/>
      <c r="B7" s="3"/>
      <c r="C7" s="3"/>
      <c r="D7" s="3"/>
      <c r="E7" s="3"/>
      <c r="F7" s="3"/>
    </row>
    <row r="8" spans="1:17" ht="15.75">
      <c r="A8" s="437" t="s">
        <v>78</v>
      </c>
      <c r="B8" s="431"/>
      <c r="C8" s="431"/>
      <c r="D8" s="431"/>
      <c r="E8" s="431"/>
      <c r="F8" s="432"/>
      <c r="Q8" s="54">
        <v>1</v>
      </c>
    </row>
    <row r="9" spans="1:17" ht="15.75">
      <c r="A9" s="437" t="s">
        <v>141</v>
      </c>
      <c r="B9" s="431"/>
      <c r="C9" s="431"/>
      <c r="D9" s="431"/>
      <c r="E9" s="431"/>
      <c r="F9" s="432"/>
    </row>
    <row r="10" spans="1:17" ht="15.75">
      <c r="A10" s="437" t="s">
        <v>142</v>
      </c>
      <c r="B10" s="431"/>
      <c r="C10" s="431"/>
      <c r="D10" s="431"/>
      <c r="E10" s="431"/>
      <c r="F10" s="432"/>
      <c r="Q10" s="54">
        <v>3</v>
      </c>
    </row>
    <row r="11" spans="1:17" ht="15.75">
      <c r="A11" s="437" t="s">
        <v>642</v>
      </c>
      <c r="B11" s="431"/>
      <c r="C11" s="431"/>
      <c r="D11" s="431"/>
      <c r="E11" s="431"/>
      <c r="F11" s="432"/>
    </row>
    <row r="12" spans="1:17" ht="15.75">
      <c r="A12" s="437" t="s">
        <v>143</v>
      </c>
      <c r="B12" s="431"/>
      <c r="C12" s="431"/>
      <c r="D12" s="431"/>
      <c r="E12" s="431"/>
      <c r="F12" s="432"/>
    </row>
    <row r="13" spans="1:17" ht="15.75">
      <c r="A13" s="437" t="s">
        <v>144</v>
      </c>
      <c r="B13" s="431"/>
      <c r="C13" s="431"/>
      <c r="D13" s="431"/>
      <c r="E13" s="431"/>
      <c r="F13" s="432"/>
    </row>
    <row r="14" spans="1:17" ht="15.75">
      <c r="A14" s="437" t="s">
        <v>145</v>
      </c>
      <c r="B14" s="431"/>
      <c r="C14" s="431"/>
      <c r="D14" s="431"/>
      <c r="E14" s="431"/>
      <c r="F14" s="432"/>
    </row>
    <row r="15" spans="1:17" ht="15.75">
      <c r="A15" s="437" t="s">
        <v>643</v>
      </c>
      <c r="B15" s="431"/>
      <c r="C15" s="431"/>
      <c r="D15" s="431"/>
      <c r="E15" s="431"/>
      <c r="F15" s="432"/>
    </row>
    <row r="20" spans="10:10">
      <c r="J20" s="54">
        <v>2</v>
      </c>
    </row>
    <row r="21" spans="10:10" ht="15.75" customHeight="1"/>
    <row r="22" spans="10:10" ht="15.75" customHeight="1"/>
    <row r="23" spans="10:10" ht="15.75" customHeight="1">
      <c r="J23" s="54">
        <v>1</v>
      </c>
    </row>
    <row r="24" spans="10:10" ht="15.75" customHeight="1"/>
    <row r="25" spans="10:10" ht="15.75" customHeight="1">
      <c r="J25" s="54">
        <v>3</v>
      </c>
    </row>
    <row r="26" spans="10:10" ht="15.75" customHeight="1"/>
    <row r="27" spans="10:10" ht="15.75" customHeight="1">
      <c r="J27" s="54">
        <v>1</v>
      </c>
    </row>
    <row r="28" spans="10:10" ht="15.75" customHeight="1"/>
    <row r="29" spans="10:10" ht="15.75" customHeight="1">
      <c r="J29" s="54">
        <v>2</v>
      </c>
    </row>
    <row r="30" spans="10:10" ht="15.75" customHeight="1"/>
    <row r="31" spans="10:10" ht="15.75" customHeight="1">
      <c r="J31" s="54">
        <v>3</v>
      </c>
    </row>
    <row r="34" spans="10:10" ht="15.75" customHeight="1">
      <c r="J34" s="54">
        <v>3</v>
      </c>
    </row>
  </sheetData>
  <mergeCells count="14">
    <mergeCell ref="A14:F14"/>
    <mergeCell ref="A15:F15"/>
    <mergeCell ref="A1:F1"/>
    <mergeCell ref="A2:F2"/>
    <mergeCell ref="A3:F3"/>
    <mergeCell ref="A4:F4"/>
    <mergeCell ref="A5:F5"/>
    <mergeCell ref="A6:F6"/>
    <mergeCell ref="A8:F8"/>
    <mergeCell ref="A9:F9"/>
    <mergeCell ref="A10:F10"/>
    <mergeCell ref="A11:F11"/>
    <mergeCell ref="A12:F12"/>
    <mergeCell ref="A13:F13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B4:F63"/>
  <sheetViews>
    <sheetView workbookViewId="0"/>
  </sheetViews>
  <sheetFormatPr baseColWidth="10" defaultColWidth="14.42578125" defaultRowHeight="15" customHeight="1"/>
  <cols>
    <col min="1" max="1" width="10.7109375" customWidth="1"/>
    <col min="2" max="2" width="34.85546875" customWidth="1"/>
    <col min="3" max="4" width="10.7109375" customWidth="1"/>
    <col min="5" max="5" width="29.42578125" customWidth="1"/>
    <col min="6" max="26" width="10.7109375" customWidth="1"/>
  </cols>
  <sheetData>
    <row r="4" spans="2:6">
      <c r="B4" s="178" t="s">
        <v>653</v>
      </c>
      <c r="C4" s="5" t="s">
        <v>654</v>
      </c>
      <c r="D4" s="178"/>
      <c r="E4" s="178"/>
      <c r="F4" s="178"/>
    </row>
    <row r="5" spans="2:6">
      <c r="B5" s="179"/>
      <c r="C5" s="180"/>
      <c r="D5" s="178"/>
      <c r="E5" s="178"/>
      <c r="F5" s="178"/>
    </row>
    <row r="6" spans="2:6">
      <c r="B6" s="181" t="s">
        <v>633</v>
      </c>
      <c r="C6" s="384">
        <v>2082</v>
      </c>
      <c r="D6" s="178"/>
      <c r="E6" s="178"/>
      <c r="F6" s="178"/>
    </row>
    <row r="7" spans="2:6">
      <c r="B7" s="382" t="s">
        <v>652</v>
      </c>
      <c r="C7" s="171">
        <v>996</v>
      </c>
      <c r="D7" s="178"/>
      <c r="E7" s="178"/>
      <c r="F7" s="178"/>
    </row>
    <row r="8" spans="2:6">
      <c r="B8" s="383" t="s">
        <v>655</v>
      </c>
      <c r="C8" s="171">
        <v>1760</v>
      </c>
      <c r="D8" s="178"/>
      <c r="E8" s="182" t="s">
        <v>622</v>
      </c>
      <c r="F8" s="183">
        <v>7196</v>
      </c>
    </row>
    <row r="9" spans="2:6">
      <c r="B9" s="383" t="s">
        <v>656</v>
      </c>
      <c r="C9" s="171">
        <v>4757</v>
      </c>
      <c r="D9" s="178"/>
      <c r="E9" s="182" t="s">
        <v>623</v>
      </c>
      <c r="F9" s="183">
        <v>7430</v>
      </c>
    </row>
    <row r="10" spans="2:6">
      <c r="B10" s="383" t="s">
        <v>630</v>
      </c>
      <c r="C10" s="171">
        <v>4754</v>
      </c>
      <c r="D10" s="178"/>
      <c r="E10" s="184" t="s">
        <v>633</v>
      </c>
      <c r="F10" s="185">
        <v>2082</v>
      </c>
    </row>
    <row r="11" spans="2:6">
      <c r="B11" s="382" t="s">
        <v>651</v>
      </c>
      <c r="C11" s="171">
        <v>4749</v>
      </c>
      <c r="D11" s="178"/>
      <c r="E11" s="186" t="s">
        <v>624</v>
      </c>
      <c r="F11" s="183">
        <v>4747</v>
      </c>
    </row>
    <row r="12" spans="2:6">
      <c r="B12" s="383" t="s">
        <v>657</v>
      </c>
      <c r="C12" s="171">
        <v>4756</v>
      </c>
      <c r="D12" s="178"/>
      <c r="E12" s="182" t="s">
        <v>629</v>
      </c>
      <c r="F12" s="183">
        <v>4745</v>
      </c>
    </row>
    <row r="13" spans="2:6">
      <c r="B13" s="383" t="s">
        <v>632</v>
      </c>
      <c r="C13" s="171">
        <v>4742</v>
      </c>
      <c r="D13" s="178"/>
      <c r="E13" s="178"/>
      <c r="F13" s="178"/>
    </row>
    <row r="14" spans="2:6">
      <c r="B14" s="383" t="s">
        <v>658</v>
      </c>
      <c r="C14" s="171">
        <v>4752</v>
      </c>
      <c r="D14" s="178"/>
      <c r="E14" s="178"/>
      <c r="F14" s="178"/>
    </row>
    <row r="15" spans="2:6">
      <c r="B15" s="383" t="s">
        <v>659</v>
      </c>
      <c r="C15" s="171">
        <v>4743</v>
      </c>
      <c r="D15" s="178"/>
      <c r="E15" s="178"/>
      <c r="F15" s="178"/>
    </row>
    <row r="16" spans="2:6">
      <c r="B16" s="383" t="s">
        <v>660</v>
      </c>
      <c r="C16" s="171">
        <v>4751</v>
      </c>
      <c r="D16" s="178"/>
      <c r="E16" s="178"/>
      <c r="F16" s="178"/>
    </row>
    <row r="17" spans="2:3">
      <c r="B17" s="382" t="s">
        <v>661</v>
      </c>
      <c r="C17" s="171">
        <v>6041</v>
      </c>
    </row>
    <row r="18" spans="2:3">
      <c r="B18" s="382" t="s">
        <v>662</v>
      </c>
      <c r="C18" s="171">
        <v>813</v>
      </c>
    </row>
    <row r="19" spans="2:3">
      <c r="B19" s="382" t="s">
        <v>663</v>
      </c>
      <c r="C19" s="171">
        <v>8338</v>
      </c>
    </row>
    <row r="20" spans="2:3">
      <c r="B20" s="382" t="s">
        <v>664</v>
      </c>
      <c r="C20" s="171">
        <v>10510</v>
      </c>
    </row>
    <row r="21" spans="2:3" ht="15.75" customHeight="1">
      <c r="B21" s="382" t="s">
        <v>665</v>
      </c>
      <c r="C21" s="171">
        <v>6219</v>
      </c>
    </row>
    <row r="22" spans="2:3" ht="15.75" customHeight="1">
      <c r="B22" s="382" t="s">
        <v>637</v>
      </c>
      <c r="C22" s="171">
        <v>4750</v>
      </c>
    </row>
    <row r="23" spans="2:3" ht="15.75" customHeight="1">
      <c r="B23" s="382" t="s">
        <v>641</v>
      </c>
      <c r="C23" s="171">
        <v>4748</v>
      </c>
    </row>
    <row r="24" spans="2:3" ht="15.75" customHeight="1">
      <c r="B24" s="382" t="s">
        <v>666</v>
      </c>
      <c r="C24" s="171">
        <v>4761</v>
      </c>
    </row>
    <row r="25" spans="2:3" ht="15.75" customHeight="1">
      <c r="B25" s="383" t="s">
        <v>634</v>
      </c>
      <c r="C25" s="171">
        <v>4755</v>
      </c>
    </row>
    <row r="26" spans="2:3" ht="15.75" customHeight="1">
      <c r="B26" s="383" t="s">
        <v>667</v>
      </c>
      <c r="C26" s="171">
        <v>5057</v>
      </c>
    </row>
    <row r="27" spans="2:3" ht="15.75" customHeight="1">
      <c r="B27" s="383" t="s">
        <v>623</v>
      </c>
      <c r="C27" s="171">
        <v>7430</v>
      </c>
    </row>
    <row r="28" spans="2:3" ht="15.75" customHeight="1">
      <c r="B28" s="383" t="s">
        <v>668</v>
      </c>
      <c r="C28" s="171">
        <v>4744</v>
      </c>
    </row>
    <row r="29" spans="2:3" ht="15.75" customHeight="1">
      <c r="B29" s="383" t="s">
        <v>635</v>
      </c>
      <c r="C29" s="171">
        <v>8596</v>
      </c>
    </row>
    <row r="30" spans="2:3" ht="15.75" customHeight="1">
      <c r="B30" s="382" t="s">
        <v>648</v>
      </c>
      <c r="C30" s="171">
        <v>4760</v>
      </c>
    </row>
    <row r="31" spans="2:3" ht="15.75" customHeight="1">
      <c r="B31" s="382" t="s">
        <v>669</v>
      </c>
      <c r="C31" s="171">
        <v>8830</v>
      </c>
    </row>
    <row r="32" spans="2:3" ht="15.75" customHeight="1">
      <c r="B32" s="383" t="s">
        <v>670</v>
      </c>
      <c r="C32" s="171">
        <v>4741</v>
      </c>
    </row>
    <row r="33" spans="2:3" ht="15.75" customHeight="1">
      <c r="B33" s="383" t="s">
        <v>671</v>
      </c>
      <c r="C33" s="171">
        <v>7478</v>
      </c>
    </row>
    <row r="34" spans="2:3" ht="15.75" customHeight="1">
      <c r="B34" s="383" t="s">
        <v>631</v>
      </c>
      <c r="C34" s="171">
        <v>4759</v>
      </c>
    </row>
    <row r="35" spans="2:3" ht="15.75" customHeight="1">
      <c r="B35" s="383" t="s">
        <v>639</v>
      </c>
      <c r="C35" s="171">
        <v>7980</v>
      </c>
    </row>
    <row r="36" spans="2:3" ht="15.75" customHeight="1">
      <c r="B36" s="383" t="s">
        <v>672</v>
      </c>
      <c r="C36" s="171">
        <v>7883</v>
      </c>
    </row>
    <row r="37" spans="2:3" ht="15.75" customHeight="1">
      <c r="B37" s="383" t="s">
        <v>646</v>
      </c>
      <c r="C37" s="171">
        <v>10520</v>
      </c>
    </row>
    <row r="38" spans="2:3" ht="15.75" customHeight="1">
      <c r="B38" s="383" t="s">
        <v>673</v>
      </c>
      <c r="C38" s="171">
        <v>10522</v>
      </c>
    </row>
    <row r="39" spans="2:3" ht="15.75" customHeight="1">
      <c r="B39" s="382" t="s">
        <v>674</v>
      </c>
      <c r="C39" s="171">
        <v>10521</v>
      </c>
    </row>
    <row r="40" spans="2:3" ht="15.75" customHeight="1">
      <c r="B40" s="382" t="s">
        <v>624</v>
      </c>
      <c r="C40" s="171">
        <v>4747</v>
      </c>
    </row>
    <row r="41" spans="2:3" ht="15.75" customHeight="1">
      <c r="B41" s="382" t="s">
        <v>625</v>
      </c>
      <c r="C41" s="171">
        <v>11692</v>
      </c>
    </row>
    <row r="42" spans="2:3" ht="15.75" customHeight="1">
      <c r="B42" s="382" t="s">
        <v>626</v>
      </c>
      <c r="C42" s="171">
        <v>6219</v>
      </c>
    </row>
    <row r="43" spans="2:3" ht="15.75" customHeight="1">
      <c r="B43" s="382" t="s">
        <v>675</v>
      </c>
      <c r="C43" s="171">
        <v>4746</v>
      </c>
    </row>
    <row r="44" spans="2:3" ht="15.75" customHeight="1">
      <c r="B44" s="382" t="s">
        <v>676</v>
      </c>
      <c r="C44" s="171">
        <v>4758</v>
      </c>
    </row>
    <row r="45" spans="2:3" ht="15.75" customHeight="1">
      <c r="B45" s="382" t="s">
        <v>638</v>
      </c>
      <c r="C45" s="171">
        <v>7280</v>
      </c>
    </row>
    <row r="46" spans="2:3" ht="15.75" customHeight="1">
      <c r="B46" s="382" t="s">
        <v>677</v>
      </c>
      <c r="C46" s="171">
        <v>4668</v>
      </c>
    </row>
    <row r="47" spans="2:3" ht="15.75" customHeight="1">
      <c r="B47" s="382" t="s">
        <v>649</v>
      </c>
      <c r="C47" s="171">
        <v>1744</v>
      </c>
    </row>
    <row r="48" spans="2:3" ht="15.75" customHeight="1">
      <c r="B48" s="382" t="s">
        <v>636</v>
      </c>
      <c r="C48" s="171">
        <v>8606</v>
      </c>
    </row>
    <row r="49" spans="2:3" ht="15.75" customHeight="1">
      <c r="B49" s="383" t="s">
        <v>678</v>
      </c>
      <c r="C49" s="171">
        <v>2049</v>
      </c>
    </row>
    <row r="50" spans="2:3" ht="15.75" customHeight="1">
      <c r="B50" s="383" t="s">
        <v>679</v>
      </c>
      <c r="C50" s="171">
        <v>7470</v>
      </c>
    </row>
    <row r="51" spans="2:3" ht="15.75" customHeight="1">
      <c r="B51" s="383" t="s">
        <v>680</v>
      </c>
      <c r="C51" s="171">
        <v>4406</v>
      </c>
    </row>
    <row r="52" spans="2:3" ht="15.75" customHeight="1">
      <c r="B52" s="382" t="s">
        <v>681</v>
      </c>
      <c r="C52" s="171">
        <v>7130</v>
      </c>
    </row>
    <row r="53" spans="2:3" ht="15.75" customHeight="1">
      <c r="B53" s="383" t="s">
        <v>628</v>
      </c>
      <c r="C53" s="171">
        <v>6283</v>
      </c>
    </row>
    <row r="54" spans="2:3" ht="15.75" customHeight="1">
      <c r="B54" s="383" t="s">
        <v>682</v>
      </c>
      <c r="C54" s="171">
        <v>970</v>
      </c>
    </row>
    <row r="55" spans="2:3" ht="15.75" customHeight="1">
      <c r="B55" s="383" t="s">
        <v>683</v>
      </c>
      <c r="C55" s="171">
        <v>7928</v>
      </c>
    </row>
    <row r="56" spans="2:3" ht="15.75" customHeight="1">
      <c r="B56" s="383" t="s">
        <v>629</v>
      </c>
      <c r="C56" s="171">
        <v>4745</v>
      </c>
    </row>
    <row r="57" spans="2:3" ht="15.75" customHeight="1">
      <c r="B57" s="382" t="s">
        <v>627</v>
      </c>
      <c r="C57" s="171">
        <v>2193</v>
      </c>
    </row>
    <row r="58" spans="2:3" ht="15.75" customHeight="1">
      <c r="B58" s="383" t="s">
        <v>622</v>
      </c>
      <c r="C58" s="171">
        <v>7196</v>
      </c>
    </row>
    <row r="59" spans="2:3" ht="15.75" customHeight="1">
      <c r="B59" s="383" t="s">
        <v>684</v>
      </c>
      <c r="C59" s="171">
        <v>4753</v>
      </c>
    </row>
    <row r="60" spans="2:3" ht="15.75" customHeight="1">
      <c r="B60" s="383" t="s">
        <v>650</v>
      </c>
      <c r="C60" s="171">
        <v>2479</v>
      </c>
    </row>
    <row r="61" spans="2:3" ht="15.75" customHeight="1">
      <c r="B61" s="383" t="s">
        <v>685</v>
      </c>
      <c r="C61" s="171">
        <v>8881</v>
      </c>
    </row>
    <row r="62" spans="2:3" ht="15.75" customHeight="1">
      <c r="B62" s="383" t="s">
        <v>647</v>
      </c>
      <c r="C62" s="171">
        <v>7174</v>
      </c>
    </row>
    <row r="63" spans="2:3" ht="15.75" customHeight="1">
      <c r="B63" s="385" t="s">
        <v>640</v>
      </c>
      <c r="C63" s="386">
        <v>9687</v>
      </c>
    </row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C1:D61"/>
  <sheetViews>
    <sheetView workbookViewId="0"/>
  </sheetViews>
  <sheetFormatPr baseColWidth="10" defaultColWidth="14.42578125" defaultRowHeight="15" customHeight="1"/>
  <cols>
    <col min="1" max="2" width="10.7109375" customWidth="1"/>
    <col min="3" max="3" width="36.85546875" customWidth="1"/>
    <col min="4" max="4" width="11.42578125" customWidth="1"/>
    <col min="5" max="26" width="10.7109375" customWidth="1"/>
  </cols>
  <sheetData>
    <row r="1" spans="3:4">
      <c r="C1" s="187" t="s">
        <v>686</v>
      </c>
      <c r="D1" s="188">
        <v>2082</v>
      </c>
    </row>
    <row r="2" spans="3:4">
      <c r="C2" s="177" t="s">
        <v>687</v>
      </c>
      <c r="D2" s="174">
        <v>996</v>
      </c>
    </row>
    <row r="3" spans="3:4">
      <c r="C3" s="172" t="s">
        <v>688</v>
      </c>
      <c r="D3" s="174">
        <v>1760</v>
      </c>
    </row>
    <row r="4" spans="3:4">
      <c r="C4" s="173" t="s">
        <v>656</v>
      </c>
      <c r="D4" s="174">
        <v>4757</v>
      </c>
    </row>
    <row r="5" spans="3:4">
      <c r="C5" s="173" t="s">
        <v>630</v>
      </c>
      <c r="D5" s="174">
        <v>4754</v>
      </c>
    </row>
    <row r="6" spans="3:4">
      <c r="C6" s="173" t="s">
        <v>651</v>
      </c>
      <c r="D6" s="174">
        <v>4749</v>
      </c>
    </row>
    <row r="7" spans="3:4">
      <c r="C7" s="177" t="s">
        <v>657</v>
      </c>
      <c r="D7" s="174">
        <v>4756</v>
      </c>
    </row>
    <row r="8" spans="3:4">
      <c r="C8" s="173" t="s">
        <v>632</v>
      </c>
      <c r="D8" s="174">
        <v>4742</v>
      </c>
    </row>
    <row r="9" spans="3:4">
      <c r="C9" s="173" t="s">
        <v>658</v>
      </c>
      <c r="D9" s="174">
        <v>4752</v>
      </c>
    </row>
    <row r="10" spans="3:4">
      <c r="C10" s="172" t="s">
        <v>659</v>
      </c>
      <c r="D10" s="174">
        <v>4743</v>
      </c>
    </row>
    <row r="11" spans="3:4">
      <c r="C11" s="177" t="s">
        <v>660</v>
      </c>
      <c r="D11" s="174">
        <v>4751</v>
      </c>
    </row>
    <row r="12" spans="3:4">
      <c r="C12" s="173" t="s">
        <v>661</v>
      </c>
      <c r="D12" s="174">
        <v>6041</v>
      </c>
    </row>
    <row r="13" spans="3:4">
      <c r="C13" s="173" t="s">
        <v>662</v>
      </c>
      <c r="D13" s="174">
        <v>813</v>
      </c>
    </row>
    <row r="14" spans="3:4">
      <c r="C14" s="189" t="s">
        <v>689</v>
      </c>
      <c r="D14" s="174">
        <v>8338</v>
      </c>
    </row>
    <row r="15" spans="3:4">
      <c r="C15" s="177" t="s">
        <v>690</v>
      </c>
      <c r="D15" s="174">
        <v>594</v>
      </c>
    </row>
    <row r="16" spans="3:4">
      <c r="C16" s="173" t="s">
        <v>691</v>
      </c>
      <c r="D16" s="174">
        <v>7710</v>
      </c>
    </row>
    <row r="17" spans="3:4">
      <c r="C17" s="173" t="s">
        <v>625</v>
      </c>
      <c r="D17" s="174">
        <v>11692</v>
      </c>
    </row>
    <row r="18" spans="3:4">
      <c r="C18" s="173" t="s">
        <v>664</v>
      </c>
      <c r="D18" s="174">
        <v>10510</v>
      </c>
    </row>
    <row r="19" spans="3:4">
      <c r="C19" s="177" t="s">
        <v>692</v>
      </c>
      <c r="D19" s="174">
        <v>277</v>
      </c>
    </row>
    <row r="20" spans="3:4">
      <c r="C20" s="189" t="s">
        <v>665</v>
      </c>
      <c r="D20" s="174">
        <v>6219</v>
      </c>
    </row>
    <row r="21" spans="3:4" ht="15.75" customHeight="1">
      <c r="C21" s="177" t="s">
        <v>637</v>
      </c>
      <c r="D21" s="174">
        <v>4750</v>
      </c>
    </row>
    <row r="22" spans="3:4" ht="15.75" customHeight="1">
      <c r="C22" s="173" t="s">
        <v>641</v>
      </c>
      <c r="D22" s="174">
        <v>4748</v>
      </c>
    </row>
    <row r="23" spans="3:4" ht="15.75" customHeight="1">
      <c r="C23" s="173" t="s">
        <v>666</v>
      </c>
      <c r="D23" s="174">
        <v>4761</v>
      </c>
    </row>
    <row r="24" spans="3:4" ht="15.75" customHeight="1">
      <c r="C24" s="177" t="s">
        <v>634</v>
      </c>
      <c r="D24" s="174">
        <v>4755</v>
      </c>
    </row>
    <row r="25" spans="3:4" ht="15.75" customHeight="1">
      <c r="C25" s="173" t="s">
        <v>667</v>
      </c>
      <c r="D25" s="174">
        <v>5057</v>
      </c>
    </row>
    <row r="26" spans="3:4" ht="15.75" customHeight="1">
      <c r="C26" s="189" t="s">
        <v>623</v>
      </c>
      <c r="D26" s="174">
        <v>7430</v>
      </c>
    </row>
    <row r="27" spans="3:4" ht="15.75" customHeight="1">
      <c r="C27" s="189" t="s">
        <v>668</v>
      </c>
      <c r="D27" s="174">
        <v>4744</v>
      </c>
    </row>
    <row r="28" spans="3:4" ht="15.75" customHeight="1">
      <c r="C28" s="173" t="s">
        <v>635</v>
      </c>
      <c r="D28" s="174">
        <v>8596</v>
      </c>
    </row>
    <row r="29" spans="3:4" ht="15.75" customHeight="1">
      <c r="C29" s="173" t="s">
        <v>648</v>
      </c>
      <c r="D29" s="174">
        <v>4760</v>
      </c>
    </row>
    <row r="30" spans="3:4" ht="15.75" customHeight="1">
      <c r="C30" s="173" t="s">
        <v>669</v>
      </c>
      <c r="D30" s="174">
        <v>8830</v>
      </c>
    </row>
    <row r="31" spans="3:4" ht="15.75" customHeight="1">
      <c r="C31" s="173" t="s">
        <v>670</v>
      </c>
      <c r="D31" s="174">
        <v>4741</v>
      </c>
    </row>
    <row r="32" spans="3:4" ht="15.75" customHeight="1">
      <c r="C32" s="172" t="s">
        <v>671</v>
      </c>
      <c r="D32" s="174">
        <v>7478</v>
      </c>
    </row>
    <row r="33" spans="3:4" ht="15.75" customHeight="1">
      <c r="C33" s="189" t="s">
        <v>631</v>
      </c>
      <c r="D33" s="174">
        <v>4759</v>
      </c>
    </row>
    <row r="34" spans="3:4" ht="15.75" customHeight="1">
      <c r="C34" s="173" t="s">
        <v>639</v>
      </c>
      <c r="D34" s="174">
        <v>7980</v>
      </c>
    </row>
    <row r="35" spans="3:4" ht="15.75" customHeight="1">
      <c r="C35" s="172" t="s">
        <v>672</v>
      </c>
      <c r="D35" s="174">
        <v>7883</v>
      </c>
    </row>
    <row r="36" spans="3:4" ht="15.75" customHeight="1">
      <c r="C36" s="190" t="s">
        <v>646</v>
      </c>
      <c r="D36" s="387">
        <v>10520</v>
      </c>
    </row>
    <row r="37" spans="3:4" ht="15.75" customHeight="1">
      <c r="C37" s="173" t="s">
        <v>673</v>
      </c>
      <c r="D37" s="174">
        <v>10522</v>
      </c>
    </row>
    <row r="38" spans="3:4" ht="15.75" customHeight="1">
      <c r="C38" s="172" t="s">
        <v>674</v>
      </c>
      <c r="D38" s="174">
        <v>10521</v>
      </c>
    </row>
    <row r="39" spans="3:4" ht="15.75" customHeight="1">
      <c r="C39" s="172" t="s">
        <v>693</v>
      </c>
      <c r="D39" s="174">
        <v>4747</v>
      </c>
    </row>
    <row r="40" spans="3:4" ht="15.75" customHeight="1">
      <c r="C40" s="177" t="s">
        <v>675</v>
      </c>
      <c r="D40" s="174">
        <v>4746</v>
      </c>
    </row>
    <row r="41" spans="3:4" ht="15.75" customHeight="1">
      <c r="C41" s="172" t="s">
        <v>676</v>
      </c>
      <c r="D41" s="174">
        <v>4758</v>
      </c>
    </row>
    <row r="42" spans="3:4" ht="15.75" customHeight="1">
      <c r="C42" s="173" t="s">
        <v>638</v>
      </c>
      <c r="D42" s="174">
        <v>7280</v>
      </c>
    </row>
    <row r="43" spans="3:4" ht="15.75" customHeight="1">
      <c r="C43" s="189" t="s">
        <v>694</v>
      </c>
      <c r="D43" s="174">
        <v>3495</v>
      </c>
    </row>
    <row r="44" spans="3:4" ht="15.75" customHeight="1">
      <c r="C44" s="173" t="s">
        <v>677</v>
      </c>
      <c r="D44" s="174">
        <v>4668</v>
      </c>
    </row>
    <row r="45" spans="3:4" ht="15.75" customHeight="1">
      <c r="C45" s="189" t="s">
        <v>649</v>
      </c>
      <c r="D45" s="174">
        <v>1744</v>
      </c>
    </row>
    <row r="46" spans="3:4" ht="15.75" customHeight="1">
      <c r="C46" s="173" t="s">
        <v>636</v>
      </c>
      <c r="D46" s="174">
        <v>8606</v>
      </c>
    </row>
    <row r="47" spans="3:4" ht="15.75" customHeight="1">
      <c r="C47" s="172" t="s">
        <v>678</v>
      </c>
      <c r="D47" s="174">
        <v>2049</v>
      </c>
    </row>
    <row r="48" spans="3:4" ht="15.75" customHeight="1">
      <c r="C48" s="177" t="s">
        <v>679</v>
      </c>
      <c r="D48" s="174">
        <v>7470</v>
      </c>
    </row>
    <row r="49" spans="3:4" ht="15.75" customHeight="1">
      <c r="C49" s="173" t="s">
        <v>680</v>
      </c>
      <c r="D49" s="174">
        <v>4406</v>
      </c>
    </row>
    <row r="50" spans="3:4" ht="15.75" customHeight="1">
      <c r="C50" s="173" t="s">
        <v>681</v>
      </c>
      <c r="D50" s="174">
        <v>7130</v>
      </c>
    </row>
    <row r="51" spans="3:4" ht="15.75" customHeight="1">
      <c r="C51" s="173" t="s">
        <v>628</v>
      </c>
      <c r="D51" s="174">
        <v>6283</v>
      </c>
    </row>
    <row r="52" spans="3:4" ht="15.75" customHeight="1">
      <c r="C52" s="173" t="s">
        <v>682</v>
      </c>
      <c r="D52" s="174">
        <v>970</v>
      </c>
    </row>
    <row r="53" spans="3:4" ht="15.75" customHeight="1">
      <c r="C53" s="173" t="s">
        <v>683</v>
      </c>
      <c r="D53" s="174">
        <v>7928</v>
      </c>
    </row>
    <row r="54" spans="3:4" ht="15.75" customHeight="1">
      <c r="C54" s="173" t="s">
        <v>629</v>
      </c>
      <c r="D54" s="174">
        <v>4745</v>
      </c>
    </row>
    <row r="55" spans="3:4" ht="15.75" customHeight="1">
      <c r="C55" s="189" t="s">
        <v>695</v>
      </c>
      <c r="D55" s="174">
        <v>2193</v>
      </c>
    </row>
    <row r="56" spans="3:4" ht="15.75" customHeight="1">
      <c r="C56" s="173" t="s">
        <v>622</v>
      </c>
      <c r="D56" s="174">
        <v>7196</v>
      </c>
    </row>
    <row r="57" spans="3:4" ht="15.75" customHeight="1">
      <c r="C57" s="173" t="s">
        <v>684</v>
      </c>
      <c r="D57" s="174">
        <v>4753</v>
      </c>
    </row>
    <row r="58" spans="3:4" ht="15.75" customHeight="1">
      <c r="C58" s="173" t="s">
        <v>650</v>
      </c>
      <c r="D58" s="174">
        <v>2479</v>
      </c>
    </row>
    <row r="59" spans="3:4" ht="15.75" customHeight="1">
      <c r="C59" s="173" t="s">
        <v>685</v>
      </c>
      <c r="D59" s="174">
        <v>8881</v>
      </c>
    </row>
    <row r="60" spans="3:4" ht="15.75" customHeight="1">
      <c r="C60" s="173" t="s">
        <v>647</v>
      </c>
      <c r="D60" s="174">
        <v>7174</v>
      </c>
    </row>
    <row r="61" spans="3:4" ht="15.75" customHeight="1">
      <c r="C61" s="176" t="s">
        <v>640</v>
      </c>
      <c r="D61" s="175">
        <v>9687</v>
      </c>
    </row>
  </sheetData>
  <pageMargins left="0.7" right="0.7" top="0.75" bottom="0.75" header="0" footer="0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0aec9cf6-96c0-495d-aef5-fdc3de48f762" xsi:nil="true"/>
    <lcf76f155ced4ddcb4097134ff3c332f xmlns="0aec9cf6-96c0-495d-aef5-fdc3de48f762">
      <Terms xmlns="http://schemas.microsoft.com/office/infopath/2007/PartnerControls"/>
    </lcf76f155ced4ddcb4097134ff3c332f>
    <TaxCatchAll xmlns="3e98ffcf-9b70-4b4c-aad3-19600edd758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35A90C34A8D479EB5FD1A5BF3A712" ma:contentTypeVersion="16" ma:contentTypeDescription="Crée un document." ma:contentTypeScope="" ma:versionID="b608198d992542849991d3374e014c38">
  <xsd:schema xmlns:xsd="http://www.w3.org/2001/XMLSchema" xmlns:xs="http://www.w3.org/2001/XMLSchema" xmlns:p="http://schemas.microsoft.com/office/2006/metadata/properties" xmlns:ns2="0aec9cf6-96c0-495d-aef5-fdc3de48f762" xmlns:ns3="3e98ffcf-9b70-4b4c-aad3-19600edd7580" targetNamespace="http://schemas.microsoft.com/office/2006/metadata/properties" ma:root="true" ma:fieldsID="f17bf2f1ed0e2ceb37589be19a77f21f" ns2:_="" ns3:_="">
    <xsd:import namespace="0aec9cf6-96c0-495d-aef5-fdc3de48f762"/>
    <xsd:import namespace="3e98ffcf-9b70-4b4c-aad3-19600edd75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LengthInSecond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ec9cf6-96c0-495d-aef5-fdc3de48f7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a4630736-7721-4efa-8770-dca479ddc3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2" nillable="true" ma:displayName="État de validation" ma:internalName="_x00c9_tat_x0020_de_x0020_validation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98ffcf-9b70-4b4c-aad3-19600edd758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7990a85-a63f-4097-8970-f5ac6ca9f475}" ma:internalName="TaxCatchAll" ma:showField="CatchAllData" ma:web="3e98ffcf-9b70-4b4c-aad3-19600edd75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14F77A-C6E0-4DA9-BE27-7B5B76B7BFBB}">
  <ds:schemaRefs>
    <ds:schemaRef ds:uri="http://schemas.microsoft.com/office/2006/metadata/properties"/>
    <ds:schemaRef ds:uri="http://schemas.microsoft.com/office/infopath/2007/PartnerControls"/>
    <ds:schemaRef ds:uri="0aec9cf6-96c0-495d-aef5-fdc3de48f762"/>
    <ds:schemaRef ds:uri="3e98ffcf-9b70-4b4c-aad3-19600edd7580"/>
  </ds:schemaRefs>
</ds:datastoreItem>
</file>

<file path=customXml/itemProps2.xml><?xml version="1.0" encoding="utf-8"?>
<ds:datastoreItem xmlns:ds="http://schemas.openxmlformats.org/officeDocument/2006/customXml" ds:itemID="{29FB565E-66DC-41A7-AB36-28402479CC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AD20FC-D657-4622-BEB2-8B2272E6AF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ec9cf6-96c0-495d-aef5-fdc3de48f762"/>
    <ds:schemaRef ds:uri="3e98ffcf-9b70-4b4c-aad3-19600edd75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</vt:i4>
      </vt:variant>
    </vt:vector>
  </HeadingPairs>
  <TitlesOfParts>
    <vt:vector size="15" baseType="lpstr">
      <vt:lpstr>Cycle S.9</vt:lpstr>
      <vt:lpstr>Feuil1</vt:lpstr>
      <vt:lpstr>Cadencier S.3 SL </vt:lpstr>
      <vt:lpstr>Cadencier S.4 SL  </vt:lpstr>
      <vt:lpstr>Cadencier S.7</vt:lpstr>
      <vt:lpstr>Cadencier S.11</vt:lpstr>
      <vt:lpstr>Poele</vt:lpstr>
      <vt:lpstr>Four</vt:lpstr>
      <vt:lpstr>Wok</vt:lpstr>
      <vt:lpstr>Plancha2</vt:lpstr>
      <vt:lpstr>Friteuse</vt:lpstr>
      <vt:lpstr>Cala poulet</vt:lpstr>
      <vt:lpstr>Légumes</vt:lpstr>
      <vt:lpstr>Leg</vt:lpstr>
      <vt:lpstr>PlageNommée1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C.Bernard</dc:creator>
  <cp:keywords/>
  <dc:description/>
  <cp:lastModifiedBy>Sylvain Laurent</cp:lastModifiedBy>
  <cp:revision/>
  <dcterms:created xsi:type="dcterms:W3CDTF">2020-09-18T15:42:47Z</dcterms:created>
  <dcterms:modified xsi:type="dcterms:W3CDTF">2024-02-29T11:37:10Z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0x01010036A35A90C34A8D479EB5FD1A5BF3A712</vt:lpwstr>
  </property>
  <property fmtid="{D5CDD505-2E9C-101B-9397-08002B2CF9AE}" pid="3" name="MediaServiceImageTags">
    <vt:lpwstr/>
  </property>
</Properties>
</file>